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\COPEC Projects\Dashboard precios EDS\"/>
    </mc:Choice>
  </mc:AlternateContent>
  <xr:revisionPtr revIDLastSave="0" documentId="8_{8E332C79-803D-4F63-9CD8-77E536BD9A0D}" xr6:coauthVersionLast="36" xr6:coauthVersionMax="36" xr10:uidLastSave="{00000000-0000-0000-0000-000000000000}"/>
  <bookViews>
    <workbookView xWindow="0" yWindow="0" windowWidth="19200" windowHeight="8010" activeTab="1" xr2:uid="{9E9E8C97-F897-498C-ABE3-FC758CD73A4D}"/>
  </bookViews>
  <sheets>
    <sheet name="Analisis final" sheetId="2" r:id="rId1"/>
    <sheet name="BD Final" sheetId="1" r:id="rId2"/>
  </sheets>
  <definedNames>
    <definedName name="_xlnm._FilterDatabase" localSheetId="1" hidden="1">'BD Final'!$A$1:$U$113</definedName>
  </definedNames>
  <calcPr calcId="191029"/>
  <pivotCaches>
    <pivotCache cacheId="127" r:id="rId3"/>
    <pivotCache cacheId="12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3" i="1" l="1"/>
  <c r="A112" i="1"/>
  <c r="K160" i="2" l="1"/>
  <c r="J160" i="2"/>
  <c r="I160" i="2"/>
  <c r="H160" i="2"/>
  <c r="K159" i="2"/>
  <c r="J159" i="2"/>
  <c r="I159" i="2"/>
  <c r="H159" i="2"/>
  <c r="K158" i="2"/>
  <c r="J158" i="2"/>
  <c r="I158" i="2"/>
  <c r="H158" i="2"/>
  <c r="K157" i="2"/>
  <c r="J157" i="2"/>
  <c r="I157" i="2"/>
  <c r="H157" i="2"/>
  <c r="K156" i="2"/>
  <c r="J156" i="2"/>
  <c r="I156" i="2"/>
  <c r="H156" i="2"/>
  <c r="K155" i="2"/>
  <c r="J155" i="2"/>
  <c r="I155" i="2"/>
  <c r="H155" i="2"/>
  <c r="K154" i="2"/>
  <c r="J154" i="2"/>
  <c r="I154" i="2"/>
  <c r="H154" i="2"/>
  <c r="K153" i="2"/>
  <c r="J153" i="2"/>
  <c r="I153" i="2"/>
  <c r="H153" i="2"/>
  <c r="K152" i="2"/>
  <c r="J152" i="2"/>
  <c r="I152" i="2"/>
  <c r="H152" i="2"/>
  <c r="K151" i="2"/>
  <c r="J151" i="2"/>
  <c r="I151" i="2"/>
  <c r="H151" i="2"/>
  <c r="K150" i="2"/>
  <c r="J150" i="2"/>
  <c r="I150" i="2"/>
  <c r="H150" i="2"/>
  <c r="K149" i="2"/>
  <c r="J149" i="2"/>
  <c r="I149" i="2"/>
  <c r="H149" i="2"/>
  <c r="K148" i="2"/>
  <c r="J148" i="2"/>
  <c r="I148" i="2"/>
  <c r="H148" i="2"/>
  <c r="K147" i="2"/>
  <c r="J147" i="2"/>
  <c r="I147" i="2"/>
  <c r="H147" i="2"/>
  <c r="K146" i="2"/>
  <c r="J146" i="2"/>
  <c r="I146" i="2"/>
  <c r="H146" i="2"/>
  <c r="K145" i="2"/>
  <c r="J145" i="2"/>
  <c r="I145" i="2"/>
  <c r="H145" i="2"/>
  <c r="K144" i="2"/>
  <c r="J144" i="2"/>
  <c r="I144" i="2"/>
  <c r="H144" i="2"/>
  <c r="K143" i="2"/>
  <c r="J143" i="2"/>
  <c r="I143" i="2"/>
  <c r="H143" i="2"/>
  <c r="L132" i="2"/>
  <c r="K132" i="2"/>
  <c r="J132" i="2"/>
  <c r="I132" i="2"/>
  <c r="L131" i="2"/>
  <c r="K131" i="2"/>
  <c r="J131" i="2"/>
  <c r="I131" i="2"/>
  <c r="L130" i="2"/>
  <c r="K130" i="2"/>
  <c r="J130" i="2"/>
  <c r="I130" i="2"/>
  <c r="L129" i="2"/>
  <c r="K129" i="2"/>
  <c r="J129" i="2"/>
  <c r="I129" i="2"/>
  <c r="L128" i="2"/>
  <c r="K128" i="2"/>
  <c r="J128" i="2"/>
  <c r="I128" i="2"/>
  <c r="L127" i="2"/>
  <c r="K127" i="2"/>
  <c r="J127" i="2"/>
  <c r="I127" i="2"/>
  <c r="L126" i="2"/>
  <c r="K126" i="2"/>
  <c r="J126" i="2"/>
  <c r="I126" i="2"/>
  <c r="L125" i="2"/>
  <c r="K125" i="2"/>
  <c r="J125" i="2"/>
  <c r="I125" i="2"/>
  <c r="L124" i="2"/>
  <c r="K124" i="2"/>
  <c r="J124" i="2"/>
  <c r="I124" i="2"/>
  <c r="L123" i="2"/>
  <c r="K123" i="2"/>
  <c r="J123" i="2"/>
  <c r="I123" i="2"/>
  <c r="L122" i="2"/>
  <c r="K122" i="2"/>
  <c r="J122" i="2"/>
  <c r="I122" i="2"/>
  <c r="L121" i="2"/>
  <c r="K121" i="2"/>
  <c r="J121" i="2"/>
  <c r="I121" i="2"/>
  <c r="L120" i="2"/>
  <c r="K120" i="2"/>
  <c r="J120" i="2"/>
  <c r="I120" i="2"/>
  <c r="L119" i="2"/>
  <c r="K119" i="2"/>
  <c r="J119" i="2"/>
  <c r="I119" i="2"/>
  <c r="L118" i="2"/>
  <c r="K118" i="2"/>
  <c r="J118" i="2"/>
  <c r="I118" i="2"/>
  <c r="L117" i="2"/>
  <c r="K117" i="2"/>
  <c r="J117" i="2"/>
  <c r="I117" i="2"/>
  <c r="L116" i="2"/>
  <c r="K116" i="2"/>
  <c r="J116" i="2"/>
  <c r="I116" i="2"/>
  <c r="L115" i="2"/>
  <c r="K115" i="2"/>
  <c r="J115" i="2"/>
  <c r="I115" i="2"/>
  <c r="L114" i="2"/>
  <c r="K114" i="2"/>
  <c r="J114" i="2"/>
  <c r="I114" i="2"/>
  <c r="L113" i="2"/>
  <c r="K113" i="2"/>
  <c r="J113" i="2"/>
  <c r="I113" i="2"/>
  <c r="L112" i="2"/>
  <c r="K112" i="2"/>
  <c r="J112" i="2"/>
  <c r="I112" i="2"/>
  <c r="L111" i="2"/>
  <c r="K111" i="2"/>
  <c r="J111" i="2"/>
  <c r="I111" i="2"/>
  <c r="L110" i="2"/>
  <c r="K110" i="2"/>
  <c r="J110" i="2"/>
  <c r="I110" i="2"/>
  <c r="L109" i="2"/>
  <c r="K109" i="2"/>
  <c r="J109" i="2"/>
  <c r="I109" i="2"/>
  <c r="L108" i="2"/>
  <c r="K108" i="2"/>
  <c r="J108" i="2"/>
  <c r="I108" i="2"/>
  <c r="L107" i="2"/>
  <c r="K107" i="2"/>
  <c r="J107" i="2"/>
  <c r="I107" i="2"/>
  <c r="L106" i="2"/>
  <c r="K106" i="2"/>
  <c r="J106" i="2"/>
  <c r="I106" i="2"/>
  <c r="L105" i="2"/>
  <c r="K105" i="2"/>
  <c r="J105" i="2"/>
  <c r="I105" i="2"/>
  <c r="L104" i="2"/>
  <c r="K104" i="2"/>
  <c r="J104" i="2"/>
  <c r="I104" i="2"/>
  <c r="L103" i="2"/>
  <c r="K103" i="2"/>
  <c r="J103" i="2"/>
  <c r="I103" i="2"/>
  <c r="L102" i="2"/>
  <c r="K102" i="2"/>
  <c r="J102" i="2"/>
  <c r="I102" i="2"/>
  <c r="L101" i="2"/>
  <c r="K101" i="2"/>
  <c r="J101" i="2"/>
  <c r="I101" i="2"/>
  <c r="L100" i="2"/>
  <c r="K100" i="2"/>
  <c r="J100" i="2"/>
  <c r="I100" i="2"/>
  <c r="L99" i="2"/>
  <c r="K99" i="2"/>
  <c r="J99" i="2"/>
  <c r="I99" i="2"/>
  <c r="L98" i="2"/>
  <c r="K98" i="2"/>
  <c r="J98" i="2"/>
  <c r="I98" i="2"/>
  <c r="L97" i="2"/>
  <c r="K97" i="2"/>
  <c r="J97" i="2"/>
  <c r="I97" i="2"/>
  <c r="L96" i="2"/>
  <c r="K96" i="2"/>
  <c r="J96" i="2"/>
  <c r="I96" i="2"/>
  <c r="L95" i="2"/>
  <c r="K95" i="2"/>
  <c r="J95" i="2"/>
  <c r="I95" i="2"/>
  <c r="L94" i="2"/>
  <c r="K94" i="2"/>
  <c r="J94" i="2"/>
  <c r="I94" i="2"/>
  <c r="M93" i="2"/>
  <c r="L93" i="2"/>
  <c r="K93" i="2"/>
  <c r="J93" i="2"/>
  <c r="I93" i="2"/>
  <c r="L92" i="2"/>
  <c r="K92" i="2"/>
  <c r="J92" i="2"/>
  <c r="I92" i="2"/>
  <c r="L91" i="2"/>
  <c r="K91" i="2"/>
  <c r="J91" i="2"/>
  <c r="I91" i="2"/>
  <c r="L90" i="2"/>
  <c r="K90" i="2"/>
  <c r="J90" i="2"/>
  <c r="I90" i="2"/>
  <c r="L89" i="2"/>
  <c r="K89" i="2"/>
  <c r="J89" i="2"/>
  <c r="I89" i="2"/>
  <c r="M88" i="2"/>
  <c r="L88" i="2"/>
  <c r="K88" i="2"/>
  <c r="J88" i="2"/>
  <c r="I88" i="2"/>
  <c r="L87" i="2"/>
  <c r="K87" i="2"/>
  <c r="J87" i="2"/>
  <c r="I87" i="2"/>
  <c r="L86" i="2"/>
  <c r="K86" i="2"/>
  <c r="J86" i="2"/>
  <c r="I86" i="2"/>
  <c r="L85" i="2"/>
  <c r="K85" i="2"/>
  <c r="J85" i="2"/>
  <c r="I85" i="2"/>
  <c r="L84" i="2"/>
  <c r="K84" i="2"/>
  <c r="J84" i="2"/>
  <c r="I84" i="2"/>
  <c r="L83" i="2"/>
  <c r="K83" i="2"/>
  <c r="J83" i="2"/>
  <c r="I83" i="2"/>
  <c r="L82" i="2"/>
  <c r="K82" i="2"/>
  <c r="J82" i="2"/>
  <c r="I82" i="2"/>
  <c r="L81" i="2"/>
  <c r="K81" i="2"/>
  <c r="J81" i="2"/>
  <c r="I81" i="2"/>
  <c r="L80" i="2"/>
  <c r="K80" i="2"/>
  <c r="J80" i="2"/>
  <c r="I80" i="2"/>
  <c r="L79" i="2"/>
  <c r="K79" i="2"/>
  <c r="J79" i="2"/>
  <c r="I79" i="2"/>
  <c r="L78" i="2"/>
  <c r="K78" i="2"/>
  <c r="J78" i="2"/>
  <c r="I78" i="2"/>
  <c r="L77" i="2"/>
  <c r="K77" i="2"/>
  <c r="J77" i="2"/>
  <c r="I77" i="2"/>
  <c r="L76" i="2"/>
  <c r="K76" i="2"/>
  <c r="J76" i="2"/>
  <c r="I76" i="2"/>
  <c r="L75" i="2"/>
  <c r="K75" i="2"/>
  <c r="J75" i="2"/>
  <c r="I75" i="2"/>
  <c r="L74" i="2"/>
  <c r="K74" i="2"/>
  <c r="J74" i="2"/>
  <c r="I74" i="2"/>
  <c r="L73" i="2"/>
  <c r="K73" i="2"/>
  <c r="J73" i="2"/>
  <c r="I73" i="2"/>
  <c r="L72" i="2"/>
  <c r="K72" i="2"/>
  <c r="J72" i="2"/>
  <c r="I72" i="2"/>
  <c r="L71" i="2"/>
  <c r="K71" i="2"/>
  <c r="J71" i="2"/>
  <c r="I71" i="2"/>
  <c r="L70" i="2"/>
  <c r="K70" i="2"/>
  <c r="J70" i="2"/>
  <c r="I70" i="2"/>
  <c r="L69" i="2"/>
  <c r="K69" i="2"/>
  <c r="J69" i="2"/>
  <c r="I69" i="2"/>
  <c r="L68" i="2"/>
  <c r="K68" i="2"/>
  <c r="J68" i="2"/>
  <c r="I68" i="2"/>
  <c r="L67" i="2"/>
  <c r="K67" i="2"/>
  <c r="J67" i="2"/>
  <c r="I67" i="2"/>
  <c r="L66" i="2"/>
  <c r="K66" i="2"/>
  <c r="J66" i="2"/>
  <c r="I66" i="2"/>
  <c r="L65" i="2"/>
  <c r="K65" i="2"/>
  <c r="J65" i="2"/>
  <c r="I65" i="2"/>
  <c r="M64" i="2"/>
  <c r="L64" i="2"/>
  <c r="K64" i="2"/>
  <c r="J64" i="2"/>
  <c r="I64" i="2"/>
  <c r="L63" i="2"/>
  <c r="K63" i="2"/>
  <c r="J63" i="2"/>
  <c r="I63" i="2"/>
  <c r="L62" i="2"/>
  <c r="K62" i="2"/>
  <c r="J62" i="2"/>
  <c r="I62" i="2"/>
  <c r="L61" i="2"/>
  <c r="K61" i="2"/>
  <c r="J61" i="2"/>
  <c r="I61" i="2"/>
  <c r="L60" i="2"/>
  <c r="K60" i="2"/>
  <c r="J60" i="2"/>
  <c r="I60" i="2"/>
  <c r="L59" i="2"/>
  <c r="K59" i="2"/>
  <c r="J59" i="2"/>
  <c r="I59" i="2"/>
  <c r="L58" i="2"/>
  <c r="K58" i="2"/>
  <c r="J58" i="2"/>
  <c r="I58" i="2"/>
  <c r="L57" i="2"/>
  <c r="K57" i="2"/>
  <c r="J57" i="2"/>
  <c r="I57" i="2"/>
  <c r="L56" i="2"/>
  <c r="K56" i="2"/>
  <c r="J56" i="2"/>
  <c r="I56" i="2"/>
  <c r="L55" i="2"/>
  <c r="K55" i="2"/>
  <c r="J55" i="2"/>
  <c r="I55" i="2"/>
  <c r="L54" i="2"/>
  <c r="K54" i="2"/>
  <c r="J54" i="2"/>
  <c r="I54" i="2"/>
  <c r="L53" i="2"/>
  <c r="K53" i="2"/>
  <c r="J53" i="2"/>
  <c r="I53" i="2"/>
  <c r="L52" i="2"/>
  <c r="K52" i="2"/>
  <c r="J52" i="2"/>
  <c r="I52" i="2"/>
  <c r="L51" i="2"/>
  <c r="K51" i="2"/>
  <c r="J51" i="2"/>
  <c r="I51" i="2"/>
  <c r="L50" i="2"/>
  <c r="K50" i="2"/>
  <c r="J50" i="2"/>
  <c r="I50" i="2"/>
  <c r="L49" i="2"/>
  <c r="K49" i="2"/>
  <c r="J49" i="2"/>
  <c r="I49" i="2"/>
  <c r="L48" i="2"/>
  <c r="K48" i="2"/>
  <c r="J48" i="2"/>
  <c r="I48" i="2"/>
  <c r="L47" i="2"/>
  <c r="K47" i="2"/>
  <c r="J47" i="2"/>
  <c r="I47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</calcChain>
</file>

<file path=xl/sharedStrings.xml><?xml version="1.0" encoding="utf-8"?>
<sst xmlns="http://schemas.openxmlformats.org/spreadsheetml/2006/main" count="1777" uniqueCount="361">
  <si>
    <t>Periodo Precio</t>
  </si>
  <si>
    <t>Zona</t>
  </si>
  <si>
    <t>Region nombre</t>
  </si>
  <si>
    <t>Region n°</t>
  </si>
  <si>
    <t>Marca</t>
  </si>
  <si>
    <t>COMUNA</t>
  </si>
  <si>
    <t>Cod. Localidad</t>
  </si>
  <si>
    <t>Denominación</t>
  </si>
  <si>
    <t>Cod. Solicitante</t>
  </si>
  <si>
    <t>Solicitante</t>
  </si>
  <si>
    <t>Cod. Producto</t>
  </si>
  <si>
    <t>Denominación producto</t>
  </si>
  <si>
    <t>P. Concesionario ($/L)</t>
  </si>
  <si>
    <t>Costo de Producción ($/L)</t>
  </si>
  <si>
    <t>Flete primario ($/L)</t>
  </si>
  <si>
    <t>Flete secundario ($/L)</t>
  </si>
  <si>
    <t>M1 ($/L)</t>
  </si>
  <si>
    <t>Precio Tótem (C/IVA) ($/L)</t>
  </si>
  <si>
    <t>Precio Tótem (S/IVA) ($/L)</t>
  </si>
  <si>
    <t>M2 ($/L)</t>
  </si>
  <si>
    <t>COPEC</t>
  </si>
  <si>
    <t>Z000000113</t>
  </si>
  <si>
    <t>ALTO HOSPICIO</t>
  </si>
  <si>
    <t>10095</t>
  </si>
  <si>
    <t>COMERCIAL MARGARITA HERNÁNDEZ</t>
  </si>
  <si>
    <t>104452</t>
  </si>
  <si>
    <t>BLUEMAX</t>
  </si>
  <si>
    <t>Norte</t>
  </si>
  <si>
    <t>Arica y Parinacota</t>
  </si>
  <si>
    <t>ARICA</t>
  </si>
  <si>
    <t>Z000000101</t>
  </si>
  <si>
    <t>10104</t>
  </si>
  <si>
    <t>VICTOR HUGO CORTES BRAVO Y CIA</t>
  </si>
  <si>
    <t>Tarapacá</t>
  </si>
  <si>
    <t>POZO ALMONTE</t>
  </si>
  <si>
    <t>Z000000143</t>
  </si>
  <si>
    <t>10096</t>
  </si>
  <si>
    <t>COMERCIAL Y SERVICIOS FRAELI L</t>
  </si>
  <si>
    <t>Antofagasta</t>
  </si>
  <si>
    <t>ANTOFAGASTA</t>
  </si>
  <si>
    <t>Z000000167</t>
  </si>
  <si>
    <t>10006</t>
  </si>
  <si>
    <t>MIRANDA E HIJO CIA. LTDA.</t>
  </si>
  <si>
    <t>CALAMA</t>
  </si>
  <si>
    <t>Z000000153</t>
  </si>
  <si>
    <t>10101</t>
  </si>
  <si>
    <t>COMERCIALIZADORA Y DISTRIBUIDO</t>
  </si>
  <si>
    <t>LA NEGRA</t>
  </si>
  <si>
    <t>Z000000173</t>
  </si>
  <si>
    <t>10197</t>
  </si>
  <si>
    <t>AGUAS VERDES</t>
  </si>
  <si>
    <t>Z000000179</t>
  </si>
  <si>
    <t>10619</t>
  </si>
  <si>
    <t>RACH GASOIL LIMITADA</t>
  </si>
  <si>
    <t>COPEC SG</t>
  </si>
  <si>
    <t>Z000001298</t>
  </si>
  <si>
    <t>10025</t>
  </si>
  <si>
    <t>ADMINISTRADORA  VENTAS AL DETA</t>
  </si>
  <si>
    <t>TOCOPILLA</t>
  </si>
  <si>
    <t>Z000000137</t>
  </si>
  <si>
    <t>TOCOPI LLA</t>
  </si>
  <si>
    <t>10028</t>
  </si>
  <si>
    <t>COMERCIAL Y SERVICIOS SEGUEL-</t>
  </si>
  <si>
    <t>10029</t>
  </si>
  <si>
    <t>MEJILLONES</t>
  </si>
  <si>
    <t>Z000000161</t>
  </si>
  <si>
    <t>10027</t>
  </si>
  <si>
    <t>COMERCIALIZADORA CODICOM LIMIT</t>
  </si>
  <si>
    <t>Atacama</t>
  </si>
  <si>
    <t>VALLENAR</t>
  </si>
  <si>
    <t>Z000000227</t>
  </si>
  <si>
    <t>40099</t>
  </si>
  <si>
    <t>COPIAPÓ</t>
  </si>
  <si>
    <t>Z000000215</t>
  </si>
  <si>
    <t>COPIAPO</t>
  </si>
  <si>
    <t>40512</t>
  </si>
  <si>
    <t>CHAÑARAL</t>
  </si>
  <si>
    <t>Z000000203</t>
  </si>
  <si>
    <t>CHANARAL</t>
  </si>
  <si>
    <t>40192</t>
  </si>
  <si>
    <t>40532</t>
  </si>
  <si>
    <t>ADMINISTRADORA VENTAS AL DETAL</t>
  </si>
  <si>
    <t>Coquimbo</t>
  </si>
  <si>
    <t>LA SERENA</t>
  </si>
  <si>
    <t>Z000000247</t>
  </si>
  <si>
    <t>40517</t>
  </si>
  <si>
    <t>SOCIEDAD COMERCIALIZADORA Y DI</t>
  </si>
  <si>
    <t>Centro</t>
  </si>
  <si>
    <t>Valparaíso</t>
  </si>
  <si>
    <t>PLACILLA</t>
  </si>
  <si>
    <t>Z000000369</t>
  </si>
  <si>
    <t>40098</t>
  </si>
  <si>
    <t>VALENCIA Y PACHECO LIMITADA</t>
  </si>
  <si>
    <t>LOS VILOS</t>
  </si>
  <si>
    <t>Z000000292</t>
  </si>
  <si>
    <t>40055</t>
  </si>
  <si>
    <t>40163</t>
  </si>
  <si>
    <t>COMERCIAL Y TURISMO AMANCAY LI</t>
  </si>
  <si>
    <t>40390</t>
  </si>
  <si>
    <t>COQUIMBO</t>
  </si>
  <si>
    <t>Z000000260</t>
  </si>
  <si>
    <t>40525</t>
  </si>
  <si>
    <t>SANDRO SCHIAPPACASSE S.A.</t>
  </si>
  <si>
    <t>LLAILLAY</t>
  </si>
  <si>
    <t>Z000000347</t>
  </si>
  <si>
    <t>LLAY LLAY</t>
  </si>
  <si>
    <t>40560</t>
  </si>
  <si>
    <t>40602</t>
  </si>
  <si>
    <t>COMERCIAL Y SERVICIOS GB LIMIT</t>
  </si>
  <si>
    <t>TABOLANGO</t>
  </si>
  <si>
    <t>Z000000130</t>
  </si>
  <si>
    <t>40603</t>
  </si>
  <si>
    <t>COMERCIAL Y SERVICIOS SIGNUM L</t>
  </si>
  <si>
    <t>SAN ANTONIO</t>
  </si>
  <si>
    <t>Z000000458</t>
  </si>
  <si>
    <t>40515</t>
  </si>
  <si>
    <t>COMERCIAL S R K Y COMPANIA LIM</t>
  </si>
  <si>
    <t>Ñuble</t>
  </si>
  <si>
    <t>SAN CARLOS</t>
  </si>
  <si>
    <t>Z000001240</t>
  </si>
  <si>
    <t>SAN CARLOS CARRETERA</t>
  </si>
  <si>
    <t>20017</t>
  </si>
  <si>
    <t>Maule</t>
  </si>
  <si>
    <t>PARRAL</t>
  </si>
  <si>
    <t>Z000001195</t>
  </si>
  <si>
    <t>PARRAL CARRETERA</t>
  </si>
  <si>
    <t>20090</t>
  </si>
  <si>
    <t>COMERCIAL Y SERVICIOS A &amp; M LI</t>
  </si>
  <si>
    <t>Sur</t>
  </si>
  <si>
    <t>Biobío</t>
  </si>
  <si>
    <t>CONCEPCIÓN</t>
  </si>
  <si>
    <t>Z000000674</t>
  </si>
  <si>
    <t>CONCEPCION</t>
  </si>
  <si>
    <t>20286</t>
  </si>
  <si>
    <t>FORTEZA BUSTOS DISTRIBUCION DE</t>
  </si>
  <si>
    <t>CHILLÁN</t>
  </si>
  <si>
    <t>Z000001194</t>
  </si>
  <si>
    <t>CHILLAN CARRETERA</t>
  </si>
  <si>
    <t>20336</t>
  </si>
  <si>
    <t>COMERCIAL SANTA SOLEDAD LIMITA</t>
  </si>
  <si>
    <t>Araucanía</t>
  </si>
  <si>
    <t>FREIRE</t>
  </si>
  <si>
    <t>Z000000862</t>
  </si>
  <si>
    <t>20606</t>
  </si>
  <si>
    <t>DISTRIBUIDORA DE COMBUSTIBLES</t>
  </si>
  <si>
    <t>LONCOCHE</t>
  </si>
  <si>
    <t>Z000000872</t>
  </si>
  <si>
    <t>20607</t>
  </si>
  <si>
    <t>LOS ÁNGELES</t>
  </si>
  <si>
    <t>Z000000022</t>
  </si>
  <si>
    <t>LOS ANGELES 2</t>
  </si>
  <si>
    <t>20609</t>
  </si>
  <si>
    <t>LAUTARO</t>
  </si>
  <si>
    <t>Z000000840</t>
  </si>
  <si>
    <t>20782</t>
  </si>
  <si>
    <t>BOERI, RUIZ Y CIA. LTDA.</t>
  </si>
  <si>
    <t>20859</t>
  </si>
  <si>
    <t>PENCO</t>
  </si>
  <si>
    <t>Z000000677</t>
  </si>
  <si>
    <t>20901</t>
  </si>
  <si>
    <t>ALFONSO NEUMANN E HIJOS LTDA.</t>
  </si>
  <si>
    <t>VICTORIA</t>
  </si>
  <si>
    <t>Z000001217</t>
  </si>
  <si>
    <t>VICTORIA CARRETERA</t>
  </si>
  <si>
    <t>20092</t>
  </si>
  <si>
    <t>20952</t>
  </si>
  <si>
    <t>COMERCIAL NAVEA Y SALINAS LTDA</t>
  </si>
  <si>
    <t>LOMAS COLORADAS</t>
  </si>
  <si>
    <t>Z000000687</t>
  </si>
  <si>
    <t>20864</t>
  </si>
  <si>
    <t>COMERCIAL Y SERVICIO GALLARDO</t>
  </si>
  <si>
    <t>CABRERO</t>
  </si>
  <si>
    <t>Z000000692</t>
  </si>
  <si>
    <t>20501</t>
  </si>
  <si>
    <t>COMERCIAL QUECHEREGUAS LTDA.</t>
  </si>
  <si>
    <t>ARAUCO</t>
  </si>
  <si>
    <t>Z000000702</t>
  </si>
  <si>
    <t>20509</t>
  </si>
  <si>
    <t>INMOBILIARIA Y COMERCIAL FOMAC</t>
  </si>
  <si>
    <t>RENAICO</t>
  </si>
  <si>
    <t>Z000000747</t>
  </si>
  <si>
    <t>20589</t>
  </si>
  <si>
    <t>Los Ríos</t>
  </si>
  <si>
    <t>SAN JOSÉ DE LA MARIQUINA</t>
  </si>
  <si>
    <t>Z000000880</t>
  </si>
  <si>
    <t>SN.J.DE LA MARI</t>
  </si>
  <si>
    <t>20071</t>
  </si>
  <si>
    <t>Los Lagos</t>
  </si>
  <si>
    <t>PUERTO VARAS</t>
  </si>
  <si>
    <t>Z000000944</t>
  </si>
  <si>
    <t>PTO VARAS</t>
  </si>
  <si>
    <t>20089</t>
  </si>
  <si>
    <t>COMERCIAL DASEFE LIMITADA</t>
  </si>
  <si>
    <t>TRAFÚN</t>
  </si>
  <si>
    <t>Z000000923</t>
  </si>
  <si>
    <t>TRAFUN</t>
  </si>
  <si>
    <t>20091</t>
  </si>
  <si>
    <t>DANIEL VILLAR Y CIA.  LTDA.</t>
  </si>
  <si>
    <t>PUERTO MONTT</t>
  </si>
  <si>
    <t>Z000000952</t>
  </si>
  <si>
    <t>PTO MONTT</t>
  </si>
  <si>
    <t>20213</t>
  </si>
  <si>
    <t>BERGUECIO Y EBENSPERGER LIMITA</t>
  </si>
  <si>
    <t>20605</t>
  </si>
  <si>
    <t>SOCIEDAD DE TRANSPORTES STEUER</t>
  </si>
  <si>
    <t>OSORNO</t>
  </si>
  <si>
    <t>Z000000919</t>
  </si>
  <si>
    <t>20523</t>
  </si>
  <si>
    <t>DISTRIBUIDORA COMERCIAL P &amp; G</t>
  </si>
  <si>
    <t>PARGUA</t>
  </si>
  <si>
    <t>Z000000962</t>
  </si>
  <si>
    <t>20579</t>
  </si>
  <si>
    <t>Magallanes</t>
  </si>
  <si>
    <t>PUNTA ARENAS</t>
  </si>
  <si>
    <t>Z000000991</t>
  </si>
  <si>
    <t>PTA ARENAS</t>
  </si>
  <si>
    <t>20622</t>
  </si>
  <si>
    <t>SOC. COMERCIAL VENEGAS Y COMPA</t>
  </si>
  <si>
    <t>SAN RAFAEL</t>
  </si>
  <si>
    <t>Z000000571</t>
  </si>
  <si>
    <t>20012</t>
  </si>
  <si>
    <t>MAULE</t>
  </si>
  <si>
    <t>Z000000572</t>
  </si>
  <si>
    <t>20954</t>
  </si>
  <si>
    <t>Metropolitana</t>
  </si>
  <si>
    <t>RUTA 78</t>
  </si>
  <si>
    <t>Z000000645</t>
  </si>
  <si>
    <t>60029</t>
  </si>
  <si>
    <t>60032</t>
  </si>
  <si>
    <t>O'Higgins</t>
  </si>
  <si>
    <t>SAN FERNANDO</t>
  </si>
  <si>
    <t>Z000000538</t>
  </si>
  <si>
    <t>60076</t>
  </si>
  <si>
    <t>COMERCIAL G.Q. LIMITADA</t>
  </si>
  <si>
    <t>PUDAHUEL</t>
  </si>
  <si>
    <t>Z000000025</t>
  </si>
  <si>
    <t>60312</t>
  </si>
  <si>
    <t>COMERCIAL Y SERVICIOS A &amp; D LI</t>
  </si>
  <si>
    <t>CHIMBARONGO</t>
  </si>
  <si>
    <t>Z000000541</t>
  </si>
  <si>
    <t>60336</t>
  </si>
  <si>
    <t>COMERCIAL Y SERVICIOS RIVO LIM</t>
  </si>
  <si>
    <t>SAN JAVIER</t>
  </si>
  <si>
    <t>Z000001185</t>
  </si>
  <si>
    <t>SAN JAVIER CARRETERA</t>
  </si>
  <si>
    <t>20094</t>
  </si>
  <si>
    <t>SOCIEDAD COMERCIALIZADORA NUEV</t>
  </si>
  <si>
    <t>CONCHALÍ - RENCA</t>
  </si>
  <si>
    <t>Z000000027</t>
  </si>
  <si>
    <t>CONCH RENCA</t>
  </si>
  <si>
    <t>60166</t>
  </si>
  <si>
    <t>GRANESE Y URRUTIA LTDA.</t>
  </si>
  <si>
    <t>SAN FRANCISCO DE MOSTAZAL</t>
  </si>
  <si>
    <t>Z000000484</t>
  </si>
  <si>
    <t>SN FCO.MOSTAZAL</t>
  </si>
  <si>
    <t>60470</t>
  </si>
  <si>
    <t>COMERCIAL LA PUNTA LIMITADA</t>
  </si>
  <si>
    <t>LAMPA</t>
  </si>
  <si>
    <t>Z000000411</t>
  </si>
  <si>
    <t>LAMPA CARRETERA</t>
  </si>
  <si>
    <t>60721</t>
  </si>
  <si>
    <t>COMERCIAL Y SERVICIOS SAN IGNA</t>
  </si>
  <si>
    <t>LOS LIRIOS</t>
  </si>
  <si>
    <t>Z000000087</t>
  </si>
  <si>
    <t>60781</t>
  </si>
  <si>
    <t>COMERCIAL E INVERSIONES BORQUE</t>
  </si>
  <si>
    <t>ROMERAL</t>
  </si>
  <si>
    <t>Z000000432</t>
  </si>
  <si>
    <t>60782</t>
  </si>
  <si>
    <t>SAN BERNARDO</t>
  </si>
  <si>
    <t>Z000000035</t>
  </si>
  <si>
    <t>60006</t>
  </si>
  <si>
    <t>COMERCIAL Y SERVICIOS TARAHUIN</t>
  </si>
  <si>
    <t>MAIPÚ</t>
  </si>
  <si>
    <t>Z000000037</t>
  </si>
  <si>
    <t>MAIPU</t>
  </si>
  <si>
    <t>60517</t>
  </si>
  <si>
    <t>SANTA AUGUSTA LTDA.</t>
  </si>
  <si>
    <t>SAGRADA FAMILIA</t>
  </si>
  <si>
    <t>Z000000550</t>
  </si>
  <si>
    <t>SAGRADA FLIA.</t>
  </si>
  <si>
    <t>60209</t>
  </si>
  <si>
    <t>60280</t>
  </si>
  <si>
    <t>COMERCIAL PEREA Y COMPANIA LIM</t>
  </si>
  <si>
    <t>TENO</t>
  </si>
  <si>
    <t>Z000000546</t>
  </si>
  <si>
    <t>60295</t>
  </si>
  <si>
    <t>CONSTITUCIÓN</t>
  </si>
  <si>
    <t>Z000000583</t>
  </si>
  <si>
    <t>CONSTITUCION</t>
  </si>
  <si>
    <t>20380</t>
  </si>
  <si>
    <t>VALLEJO Y COMPANIA LIMITADA</t>
  </si>
  <si>
    <t>PANGUILEMO</t>
  </si>
  <si>
    <t>Z000000570</t>
  </si>
  <si>
    <t>PANGUILLEMU</t>
  </si>
  <si>
    <t>20648</t>
  </si>
  <si>
    <t>EDUARDO RAUL ESPINOZA ORELLANA</t>
  </si>
  <si>
    <t>HIJUELAS</t>
  </si>
  <si>
    <t>Z000000367</t>
  </si>
  <si>
    <t>40035</t>
  </si>
  <si>
    <t>LA CUMBRE ESTACIONES DE SERVIC</t>
  </si>
  <si>
    <t>60471</t>
  </si>
  <si>
    <t>EDUARDO GAMBOA Y ANDERSSON LTD</t>
  </si>
  <si>
    <t>Punto blanco</t>
  </si>
  <si>
    <t>TEMUCO</t>
  </si>
  <si>
    <t>NA</t>
  </si>
  <si>
    <t>Shell</t>
  </si>
  <si>
    <t>TALCAHUANO</t>
  </si>
  <si>
    <t>OVALLE</t>
  </si>
  <si>
    <t>Aramco</t>
  </si>
  <si>
    <t>Adquim</t>
  </si>
  <si>
    <t>PAILLACO</t>
  </si>
  <si>
    <t>MARIQUINA</t>
  </si>
  <si>
    <t>CURICÓ</t>
  </si>
  <si>
    <t>TALCA</t>
  </si>
  <si>
    <t>PEDRO AGUIRRE CERDA</t>
  </si>
  <si>
    <t>QUILICURA</t>
  </si>
  <si>
    <t>CHILLÁN VIEJO</t>
  </si>
  <si>
    <t>MOSTAZAL</t>
  </si>
  <si>
    <t>NOGALES</t>
  </si>
  <si>
    <t>Chañaral</t>
  </si>
  <si>
    <t>Canela</t>
  </si>
  <si>
    <t>Colina</t>
  </si>
  <si>
    <t>Paillaco</t>
  </si>
  <si>
    <t>Alto Hospicio</t>
  </si>
  <si>
    <t>Perquenco</t>
  </si>
  <si>
    <t>Teno</t>
  </si>
  <si>
    <t>Parral</t>
  </si>
  <si>
    <t>Comparativo precios por Región</t>
  </si>
  <si>
    <t>Comparativo precios por Comuna</t>
  </si>
  <si>
    <t>Promedio de Precio Tótem (C/IVA) ($/L)</t>
  </si>
  <si>
    <t>Copec vs Shell %</t>
  </si>
  <si>
    <t>Copec vs Shell $/Lt</t>
  </si>
  <si>
    <t>Solo bajos en la zona de talca 26 $/lt en promedio</t>
  </si>
  <si>
    <t>Total general</t>
  </si>
  <si>
    <t>Copec vs Aramco %</t>
  </si>
  <si>
    <t>Copec vs Aramco $/Lt</t>
  </si>
  <si>
    <t>Total 1</t>
  </si>
  <si>
    <t>Total 2</t>
  </si>
  <si>
    <t>Total 3</t>
  </si>
  <si>
    <t>Total 4</t>
  </si>
  <si>
    <t>Total 5</t>
  </si>
  <si>
    <t>Total 6</t>
  </si>
  <si>
    <t>Total 7</t>
  </si>
  <si>
    <t>Total 8</t>
  </si>
  <si>
    <t>Total 9</t>
  </si>
  <si>
    <t>Total 10</t>
  </si>
  <si>
    <t>Total 12</t>
  </si>
  <si>
    <t>Total 13</t>
  </si>
  <si>
    <t>Total 14</t>
  </si>
  <si>
    <t>Total 15</t>
  </si>
  <si>
    <t>Total 16</t>
  </si>
  <si>
    <t>Total Norte</t>
  </si>
  <si>
    <t>Total Centro</t>
  </si>
  <si>
    <t>Total Sur</t>
  </si>
  <si>
    <t>Tiene precio?</t>
  </si>
  <si>
    <t>si</t>
  </si>
  <si>
    <t>no</t>
  </si>
  <si>
    <t>CANELA</t>
  </si>
  <si>
    <t>COLINA</t>
  </si>
  <si>
    <t>PERQUENCO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</si>
</sst>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164" formatCode="&quot;$&quot;#,##0"/>
    <numFmt numFmtId="165" formatCode="0.0%"/>
    <numFmt numFmtId="166" formatCode="&quot;$&quot;#,##0.0;[Red]&quot;$&quot;\-#,##0.0"/>
    <numFmt numFmtId="167" formatCode="&quot;$&quot;#,##0.0"/>
  </numFmts>
  <fonts count="7" x14ac:knownFonts="1">
    <font>
      <sz val="12"/>
      <color rgb="FF000000"/>
      <name val="Calibri"/>
      <family val="1"/>
    </font>
    <font>
      <sz val="11"/>
      <color rgb="FF9C5700"/>
      <name val="Calibri"/>
      <family val="2"/>
      <scheme val="minor"/>
    </font>
    <font>
      <u/>
      <sz val="12"/>
      <color theme="10"/>
      <name val="Calibri"/>
      <family val="1"/>
    </font>
    <font>
      <b/>
      <u/>
      <sz val="14"/>
      <color theme="0"/>
      <name val="Calibri"/>
      <family val="2"/>
    </font>
    <font>
      <b/>
      <sz val="14"/>
      <color theme="0"/>
      <name val="Calibri"/>
      <family val="2"/>
    </font>
    <font>
      <sz val="12"/>
      <color theme="0"/>
      <name val="Calibri"/>
      <family val="1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1" applyAlignment="1">
      <alignment horizontal="center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3" fillId="4" borderId="2" xfId="2" applyFont="1" applyFill="1" applyBorder="1"/>
    <xf numFmtId="0" fontId="3" fillId="4" borderId="2" xfId="2" applyFont="1" applyFill="1" applyBorder="1" applyAlignment="1">
      <alignment horizontal="left"/>
    </xf>
    <xf numFmtId="0" fontId="4" fillId="0" borderId="0" xfId="0" applyFont="1" applyFill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6" fontId="0" fillId="0" borderId="0" xfId="0" applyNumberFormat="1"/>
    <xf numFmtId="165" fontId="0" fillId="0" borderId="0" xfId="0" applyNumberFormat="1"/>
    <xf numFmtId="0" fontId="5" fillId="0" borderId="0" xfId="0" applyFont="1"/>
    <xf numFmtId="164" fontId="0" fillId="0" borderId="0" xfId="0" applyNumberFormat="1"/>
    <xf numFmtId="9" fontId="0" fillId="0" borderId="0" xfId="0" applyNumberFormat="1"/>
    <xf numFmtId="165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0" xfId="0" pivotButton="1"/>
    <xf numFmtId="167" fontId="0" fillId="0" borderId="0" xfId="0" applyNumberFormat="1" applyAlignment="1">
      <alignment horizontal="center"/>
    </xf>
    <xf numFmtId="6" fontId="0" fillId="0" borderId="0" xfId="0" applyNumberFormat="1" applyAlignment="1">
      <alignment vertical="top"/>
    </xf>
    <xf numFmtId="6" fontId="0" fillId="0" borderId="0" xfId="0" applyNumberFormat="1" applyAlignment="1">
      <alignment horizontal="right" vertical="top"/>
    </xf>
    <xf numFmtId="0" fontId="0" fillId="0" borderId="0" xfId="0" applyAlignment="1">
      <alignment horizontal="center"/>
    </xf>
  </cellXfs>
  <cellStyles count="3">
    <cellStyle name="Hipervínculo" xfId="2" builtinId="8"/>
    <cellStyle name="Neutral" xfId="1" builtinId="28"/>
    <cellStyle name="Normal" xfId="0" builtinId="0"/>
  </cellStyles>
  <dxfs count="26">
    <dxf>
      <font>
        <color theme="0"/>
      </font>
    </dxf>
    <dxf>
      <alignment horizontal="center"/>
    </dxf>
    <dxf>
      <alignment horizontal="center"/>
    </dxf>
    <dxf>
      <numFmt numFmtId="167" formatCode="&quot;$&quot;#,##0.0"/>
    </dxf>
    <dxf>
      <numFmt numFmtId="167" formatCode="&quot;$&quot;#,##0.0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3_Planificaci&#243;n%20Comercial%20-%20Industrial\Bluemax\Levantamiento%20precios\Analisis%20levantamiento%20precios%20vs%20copec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Raymundo Lineros Sandoval" refreshedDate="46197.448130902776" createdVersion="6" refreshedVersion="6" minRefreshableVersion="3" recordCount="96" xr:uid="{845832B6-030E-4348-AE08-F76EA50808A8}">
  <cacheSource type="worksheet">
    <worksheetSource ref="C1:U97" sheet="BD Final" r:id="rId2"/>
  </cacheSource>
  <cacheFields count="19">
    <cacheField name="Zona" numFmtId="0">
      <sharedItems count="3">
        <s v="Norte"/>
        <s v="Centro"/>
        <s v="Sur"/>
      </sharedItems>
    </cacheField>
    <cacheField name="Region nombre" numFmtId="0">
      <sharedItems count="15">
        <s v="Tarapacá"/>
        <s v="Arica y Parinacota"/>
        <s v="Antofagasta"/>
        <s v="Atacama"/>
        <s v="Coquimbo"/>
        <s v="Valparaíso"/>
        <s v="Ñuble"/>
        <s v="Maule"/>
        <s v="Biobío"/>
        <s v="Araucanía"/>
        <s v="Los Ríos"/>
        <s v="Los Lagos"/>
        <s v="Magallanes"/>
        <s v="Metropolitana"/>
        <s v="O'Higgins"/>
      </sharedItems>
    </cacheField>
    <cacheField name="Region n°" numFmtId="0">
      <sharedItems containsSemiMixedTypes="0" containsString="0" containsNumber="1" containsInteger="1" minValue="1" maxValue="16" count="15">
        <n v="1"/>
        <n v="15"/>
        <n v="2"/>
        <n v="3"/>
        <n v="4"/>
        <n v="5"/>
        <n v="16"/>
        <n v="7"/>
        <n v="8"/>
        <n v="9"/>
        <n v="14"/>
        <n v="10"/>
        <n v="12"/>
        <n v="13"/>
        <n v="6"/>
      </sharedItems>
    </cacheField>
    <cacheField name="Marca" numFmtId="0">
      <sharedItems count="5">
        <s v="COPEC"/>
        <s v="Punto blanco"/>
        <s v="Shell"/>
        <s v="Aramco"/>
        <s v="Adquim"/>
      </sharedItems>
    </cacheField>
    <cacheField name="COMUNA" numFmtId="0">
      <sharedItems/>
    </cacheField>
    <cacheField name="Cod. Localidad" numFmtId="0">
      <sharedItems/>
    </cacheField>
    <cacheField name="Denominación" numFmtId="0">
      <sharedItems/>
    </cacheField>
    <cacheField name="Cod. Solicitante" numFmtId="0">
      <sharedItems/>
    </cacheField>
    <cacheField name="Solicitante" numFmtId="0">
      <sharedItems/>
    </cacheField>
    <cacheField name="Cod. Producto" numFmtId="0">
      <sharedItems/>
    </cacheField>
    <cacheField name="Denominación producto" numFmtId="0">
      <sharedItems/>
    </cacheField>
    <cacheField name="P. Concesionario ($/L)" numFmtId="0">
      <sharedItems containsMixedTypes="1" containsNumber="1" containsInteger="1" minValue="600" maxValue="1018"/>
    </cacheField>
    <cacheField name="Costo de Producción ($/L)" numFmtId="0">
      <sharedItems containsMixedTypes="1" containsNumber="1" containsInteger="1" minValue="196" maxValue="242"/>
    </cacheField>
    <cacheField name="Flete primario ($/L)" numFmtId="0">
      <sharedItems containsMixedTypes="1" containsNumber="1" minValue="0" maxValue="37.67"/>
    </cacheField>
    <cacheField name="Flete secundario ($/L)" numFmtId="0">
      <sharedItems containsMixedTypes="1" containsNumber="1" minValue="58.21" maxValue="552.48"/>
    </cacheField>
    <cacheField name="M1 ($/L)" numFmtId="0">
      <sharedItems containsMixedTypes="1" containsNumber="1" minValue="-148.47999999999999" maxValue="557.5"/>
    </cacheField>
    <cacheField name="Precio Tótem (C/IVA) ($/L)" numFmtId="0">
      <sharedItems containsSemiMixedTypes="0" containsString="0" containsNumber="1" minValue="667" maxValue="1301"/>
    </cacheField>
    <cacheField name="Precio Tótem (S/IVA) ($/L)" numFmtId="0">
      <sharedItems containsMixedTypes="1" containsNumber="1" minValue="0" maxValue="1093.28"/>
    </cacheField>
    <cacheField name="M2 ($/L)" numFmtId="0">
      <sharedItems containsMixedTypes="1" containsNumber="1" minValue="-617" maxValue="105.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Raymundo Lineros Sandoval" refreshedDate="46203.754170486114" createdVersion="6" refreshedVersion="6" minRefreshableVersion="3" recordCount="112" xr:uid="{3108BFF8-D622-49A9-9750-608FEEF49873}">
  <cacheSource type="worksheet">
    <worksheetSource ref="A1:U113" sheet="BD Final"/>
  </cacheSource>
  <cacheFields count="21">
    <cacheField name="Tiene precio?" numFmtId="0">
      <sharedItems count="2">
        <s v="si"/>
        <s v="no"/>
      </sharedItems>
    </cacheField>
    <cacheField name="Periodo Precio" numFmtId="0">
      <sharedItems containsSemiMixedTypes="0" containsString="0" containsNumber="1" containsInteger="1" minValue="202606" maxValue="202606"/>
    </cacheField>
    <cacheField name="Zona" numFmtId="0">
      <sharedItems/>
    </cacheField>
    <cacheField name="Region nombre" numFmtId="0">
      <sharedItems count="15">
        <s v="Tarapacá"/>
        <s v="Arica y Parinacota"/>
        <s v="Antofagasta"/>
        <s v="Atacama"/>
        <s v="Coquimbo"/>
        <s v="Valparaíso"/>
        <s v="Ñuble"/>
        <s v="Maule"/>
        <s v="Biobío"/>
        <s v="Araucanía"/>
        <s v="Los Ríos"/>
        <s v="Los Lagos"/>
        <s v="Magallanes"/>
        <s v="Metropolitana"/>
        <s v="O'Higgins"/>
      </sharedItems>
    </cacheField>
    <cacheField name="Region n°" numFmtId="0">
      <sharedItems containsSemiMixedTypes="0" containsString="0" containsNumber="1" containsInteger="1" minValue="1" maxValue="16" count="15">
        <n v="1"/>
        <n v="15"/>
        <n v="2"/>
        <n v="3"/>
        <n v="4"/>
        <n v="5"/>
        <n v="16"/>
        <n v="7"/>
        <n v="8"/>
        <n v="9"/>
        <n v="14"/>
        <n v="10"/>
        <n v="12"/>
        <n v="13"/>
        <n v="6"/>
      </sharedItems>
    </cacheField>
    <cacheField name="Marca" numFmtId="0">
      <sharedItems count="5">
        <s v="COPEC"/>
        <s v="Punto blanco"/>
        <s v="Shell"/>
        <s v="Aramco"/>
        <s v="Adquim"/>
      </sharedItems>
    </cacheField>
    <cacheField name="COMUNA" numFmtId="0">
      <sharedItems count="73">
        <s v="ALTO HOSPICIO"/>
        <s v="ARICA"/>
        <s v="POZO ALMONTE"/>
        <s v="ANTOFAGASTA"/>
        <s v="CALAMA"/>
        <s v="LA NEGRA"/>
        <s v="AGUAS VERDES"/>
        <s v="COPEC SG"/>
        <s v="TOCOPILLA"/>
        <s v="MEJILLONES"/>
        <s v="VALLENAR"/>
        <s v="COPIAPÓ"/>
        <s v="CHAÑARAL"/>
        <s v="LA SERENA"/>
        <s v="PLACILLA"/>
        <s v="LOS VILOS"/>
        <s v="COQUIMBO"/>
        <s v="LLAILLAY"/>
        <s v="TABOLANGO"/>
        <s v="SAN ANTONIO"/>
        <s v="SAN CARLOS"/>
        <s v="PARRAL"/>
        <s v="CONCEPCIÓN"/>
        <s v="CHILLÁN"/>
        <s v="FREIRE"/>
        <s v="LONCOCHE"/>
        <s v="LOS ÁNGELES"/>
        <s v="LAUTARO"/>
        <s v="PENCO"/>
        <s v="VICTORIA"/>
        <s v="LOMAS COLORADAS"/>
        <s v="CABRERO"/>
        <s v="ARAUCO"/>
        <s v="RENAICO"/>
        <s v="SAN JOSÉ DE LA MARIQUINA"/>
        <s v="PUERTO VARAS"/>
        <s v="TRAFÚN"/>
        <s v="PUERTO MONTT"/>
        <s v="OSORNO"/>
        <s v="PARGUA"/>
        <s v="PUNTA ARENAS"/>
        <s v="SAN RAFAEL"/>
        <s v="MAULE"/>
        <s v="RUTA 78"/>
        <s v="SAN FERNANDO"/>
        <s v="PUDAHUEL"/>
        <s v="CHIMBARONGO"/>
        <s v="SAN JAVIER"/>
        <s v="CONCHALÍ - RENCA"/>
        <s v="SAN FRANCISCO DE MOSTAZAL"/>
        <s v="LAMPA"/>
        <s v="LOS LIRIOS"/>
        <s v="ROMERAL"/>
        <s v="SAN BERNARDO"/>
        <s v="MAIPÚ"/>
        <s v="SAGRADA FAMILIA"/>
        <s v="TENO"/>
        <s v="CONSTITUCIÓN"/>
        <s v="PANGUILEMO"/>
        <s v="HIJUELAS"/>
        <s v="TEMUCO"/>
        <s v="TALCAHUANO"/>
        <s v="OVALLE"/>
        <s v="PAILLACO"/>
        <s v="CURICÓ"/>
        <s v="TALCA"/>
        <s v="PEDRO AGUIRRE CERDA"/>
        <s v="QUILICURA"/>
        <s v="CHILLÁN VIEJO"/>
        <s v="NOGALES"/>
        <s v="CANELA"/>
        <s v="COLINA"/>
        <s v="PERQUENCO"/>
      </sharedItems>
    </cacheField>
    <cacheField name="Cod. Localidad" numFmtId="0">
      <sharedItems/>
    </cacheField>
    <cacheField name="Denominación" numFmtId="0">
      <sharedItems/>
    </cacheField>
    <cacheField name="Cod. Solicitante" numFmtId="0">
      <sharedItems/>
    </cacheField>
    <cacheField name="Solicitante" numFmtId="0">
      <sharedItems/>
    </cacheField>
    <cacheField name="Cod. Producto" numFmtId="0">
      <sharedItems/>
    </cacheField>
    <cacheField name="Denominación producto" numFmtId="0">
      <sharedItems/>
    </cacheField>
    <cacheField name="P. Concesionario ($/L)" numFmtId="0">
      <sharedItems containsMixedTypes="1" containsNumber="1" containsInteger="1" minValue="600" maxValue="1018"/>
    </cacheField>
    <cacheField name="Costo de Producción ($/L)" numFmtId="0">
      <sharedItems containsMixedTypes="1" containsNumber="1" containsInteger="1" minValue="196" maxValue="242"/>
    </cacheField>
    <cacheField name="Flete primario ($/L)" numFmtId="0">
      <sharedItems containsMixedTypes="1" containsNumber="1" minValue="0" maxValue="37.67"/>
    </cacheField>
    <cacheField name="Flete secundario ($/L)" numFmtId="0">
      <sharedItems containsMixedTypes="1" containsNumber="1" minValue="58.21" maxValue="552.48"/>
    </cacheField>
    <cacheField name="M1 ($/L)" numFmtId="0">
      <sharedItems containsMixedTypes="1" containsNumber="1" minValue="-148.47999999999999" maxValue="557.5"/>
    </cacheField>
    <cacheField name="Precio Tótem (C/IVA) ($/L)" numFmtId="0">
      <sharedItems containsSemiMixedTypes="0" containsString="0" containsNumber="1" minValue="0" maxValue="1301"/>
    </cacheField>
    <cacheField name="Precio Tótem (S/IVA) ($/L)" numFmtId="0">
      <sharedItems containsMixedTypes="1" containsNumber="1" minValue="0" maxValue="1093.28"/>
    </cacheField>
    <cacheField name="M2 ($/L)" numFmtId="0">
      <sharedItems containsMixedTypes="1" containsNumber="1" minValue="-617" maxValue="105.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x v="0"/>
    <s v="ALTO HOSPICIO"/>
    <s v="Z000000113"/>
    <s v="ALTO HOSPICIO"/>
    <s v="10095"/>
    <s v="COMERCIAL MARGARITA HERNÁNDEZ"/>
    <s v="104452"/>
    <s v="BLUEMAX"/>
    <n v="680"/>
    <n v="242"/>
    <n v="0"/>
    <n v="88.5"/>
    <n v="349.5"/>
    <n v="786"/>
    <n v="660.5"/>
    <n v="-19.5"/>
  </r>
  <r>
    <x v="0"/>
    <x v="1"/>
    <x v="1"/>
    <x v="0"/>
    <s v="ARICA"/>
    <s v="Z000000101"/>
    <s v="ARICA"/>
    <s v="10104"/>
    <s v="VICTOR HUGO CORTES BRAVO Y CIA"/>
    <s v="104452"/>
    <s v="BLUEMAX"/>
    <n v="701"/>
    <n v="242"/>
    <n v="0"/>
    <n v="368.49"/>
    <n v="90.51"/>
    <n v="870"/>
    <n v="731.09"/>
    <n v="30.09"/>
  </r>
  <r>
    <x v="0"/>
    <x v="0"/>
    <x v="0"/>
    <x v="0"/>
    <s v="POZO ALMONTE"/>
    <s v="Z000000143"/>
    <s v="POZO ALMONTE"/>
    <s v="10096"/>
    <s v="COMERCIAL Y SERVICIOS FRAELI L"/>
    <s v="104452"/>
    <s v="BLUEMAX"/>
    <n v="680"/>
    <n v="242"/>
    <n v="3"/>
    <n v="102.35"/>
    <n v="335.65"/>
    <n v="852"/>
    <n v="715.97"/>
    <n v="35.97"/>
  </r>
  <r>
    <x v="0"/>
    <x v="2"/>
    <x v="2"/>
    <x v="0"/>
    <s v="ANTOFAGASTA"/>
    <s v="Z000000167"/>
    <s v="ANTOFAGASTA"/>
    <s v="10006"/>
    <s v="MIRANDA E HIJO CIA. LTDA."/>
    <s v="104452"/>
    <s v="BLUEMAX"/>
    <n v="672"/>
    <n v="242"/>
    <n v="0"/>
    <n v="99.4"/>
    <n v="330.6"/>
    <n v="860"/>
    <n v="722.69"/>
    <n v="50.69"/>
  </r>
  <r>
    <x v="0"/>
    <x v="2"/>
    <x v="2"/>
    <x v="0"/>
    <s v="CALAMA"/>
    <s v="Z000000153"/>
    <s v="CALAMA"/>
    <s v="10101"/>
    <s v="COMERCIALIZADORA Y DISTRIBUIDO"/>
    <s v="104452"/>
    <s v="BLUEMAX"/>
    <n v="676"/>
    <n v="242"/>
    <n v="0"/>
    <n v="97.83"/>
    <n v="336.17"/>
    <n v="860"/>
    <n v="722.69"/>
    <n v="46.69"/>
  </r>
  <r>
    <x v="0"/>
    <x v="2"/>
    <x v="2"/>
    <x v="0"/>
    <s v="LA NEGRA"/>
    <s v="Z000000173"/>
    <s v="LA NEGRA"/>
    <s v="10197"/>
    <s v="COMERCIALIZADORA Y DISTRIBUIDO"/>
    <s v="104452"/>
    <s v="BLUEMAX"/>
    <n v="672"/>
    <n v="242"/>
    <n v="0"/>
    <n v="175.74"/>
    <n v="254.26"/>
    <n v="860"/>
    <n v="722.69"/>
    <n v="50.69"/>
  </r>
  <r>
    <x v="0"/>
    <x v="2"/>
    <x v="2"/>
    <x v="0"/>
    <s v="AGUAS VERDES"/>
    <s v="Z000000179"/>
    <s v="AGUAS VERDES"/>
    <s v="10619"/>
    <s v="RACH GASOIL LIMITADA"/>
    <s v="104452"/>
    <s v="BLUEMAX"/>
    <n v="693"/>
    <n v="242"/>
    <n v="0"/>
    <n v="143.53"/>
    <n v="307.47000000000003"/>
    <n v="950"/>
    <n v="798.32"/>
    <n v="105.32"/>
  </r>
  <r>
    <x v="0"/>
    <x v="2"/>
    <x v="2"/>
    <x v="0"/>
    <s v="COPEC SG"/>
    <s v="Z000001298"/>
    <s v="COPEC SG"/>
    <s v="10025"/>
    <s v="ADMINISTRADORA  VENTAS AL DETA"/>
    <s v="104452"/>
    <s v="BLUEMAX"/>
    <n v="672"/>
    <n v="242"/>
    <n v="0"/>
    <n v="133.81"/>
    <n v="296.19"/>
    <n v="860"/>
    <n v="722.69"/>
    <n v="50.69"/>
  </r>
  <r>
    <x v="0"/>
    <x v="2"/>
    <x v="2"/>
    <x v="0"/>
    <s v="TOCOPILLA"/>
    <s v="Z000000137"/>
    <s v="TOCOPI LLA"/>
    <s v="10028"/>
    <s v="COMERCIAL Y SERVICIOS SEGUEL-"/>
    <s v="104452"/>
    <s v="BLUEMAX"/>
    <n v="676"/>
    <n v="242"/>
    <n v="0"/>
    <n v="182.67"/>
    <n v="251.33"/>
    <n v="865"/>
    <n v="726.89"/>
    <n v="50.89"/>
  </r>
  <r>
    <x v="0"/>
    <x v="2"/>
    <x v="2"/>
    <x v="0"/>
    <s v="COPEC SG"/>
    <s v="Z000001298"/>
    <s v="COPEC SG"/>
    <s v="10029"/>
    <s v="ADMINISTRADORA  VENTAS AL DETA"/>
    <s v="104452"/>
    <s v="BLUEMAX"/>
    <n v="672"/>
    <n v="242"/>
    <n v="0"/>
    <n v="133.81"/>
    <n v="296.19"/>
    <n v="860"/>
    <n v="722.69"/>
    <n v="50.69"/>
  </r>
  <r>
    <x v="0"/>
    <x v="2"/>
    <x v="2"/>
    <x v="0"/>
    <s v="MEJILLONES"/>
    <s v="Z000000161"/>
    <s v="MEJILLONES"/>
    <s v="10027"/>
    <s v="COMERCIALIZADORA CODICOM LIMIT"/>
    <s v="104452"/>
    <s v="BLUEMAX"/>
    <n v="672"/>
    <n v="242"/>
    <n v="0"/>
    <n v="133.24"/>
    <n v="296.76"/>
    <n v="865"/>
    <n v="726.89"/>
    <n v="54.89"/>
  </r>
  <r>
    <x v="0"/>
    <x v="3"/>
    <x v="3"/>
    <x v="0"/>
    <s v="VALLENAR"/>
    <s v="Z000000227"/>
    <s v="VALLENAR"/>
    <s v="40099"/>
    <s v="COMERCIALIZADORA Y DISTRIBUIDO"/>
    <s v="104452"/>
    <s v="BLUEMAX"/>
    <n v="659"/>
    <n v="196"/>
    <n v="0"/>
    <n v="187.47"/>
    <n v="275.52999999999997"/>
    <n v="845"/>
    <n v="710.08"/>
    <n v="51.08"/>
  </r>
  <r>
    <x v="0"/>
    <x v="3"/>
    <x v="3"/>
    <x v="0"/>
    <s v="COPIAPÓ"/>
    <s v="Z000000215"/>
    <s v="COPIAPO"/>
    <s v="40512"/>
    <s v="ADMINISTRADORA  VENTAS AL DETA"/>
    <s v="104452"/>
    <s v="BLUEMAX"/>
    <n v="693"/>
    <n v="242"/>
    <n v="0"/>
    <n v="58.29"/>
    <n v="392.71"/>
    <n v="885"/>
    <n v="743.7"/>
    <n v="50.7"/>
  </r>
  <r>
    <x v="0"/>
    <x v="3"/>
    <x v="3"/>
    <x v="0"/>
    <s v="CHAÑARAL"/>
    <s v="Z000000203"/>
    <s v="CHANARAL"/>
    <s v="40192"/>
    <s v="ADMINISTRADORA  VENTAS AL DETA"/>
    <s v="104452"/>
    <s v="BLUEMAX"/>
    <n v="693"/>
    <n v="242"/>
    <n v="0"/>
    <n v="255.25"/>
    <n v="195.75"/>
    <n v="867"/>
    <n v="728.57"/>
    <n v="35.57"/>
  </r>
  <r>
    <x v="0"/>
    <x v="3"/>
    <x v="3"/>
    <x v="0"/>
    <s v="VALLENAR"/>
    <s v="Z000000227"/>
    <s v="VALLENAR"/>
    <s v="40532"/>
    <s v="ADMINISTRADORA VENTAS AL DETAL"/>
    <s v="104452"/>
    <s v="BLUEMAX"/>
    <n v="659"/>
    <n v="196"/>
    <n v="0"/>
    <n v="187.47"/>
    <n v="275.52999999999997"/>
    <n v="779"/>
    <n v="654.62"/>
    <n v="-4.38"/>
  </r>
  <r>
    <x v="0"/>
    <x v="4"/>
    <x v="4"/>
    <x v="0"/>
    <s v="LA SERENA"/>
    <s v="Z000000247"/>
    <s v="LA SERENA"/>
    <s v="40517"/>
    <s v="SOCIEDAD COMERCIALIZADORA Y DI"/>
    <s v="104452"/>
    <s v="BLUEMAX"/>
    <n v="621"/>
    <n v="196"/>
    <n v="0"/>
    <n v="219.38"/>
    <n v="205.62"/>
    <n v="798"/>
    <n v="670.59"/>
    <n v="49.59"/>
  </r>
  <r>
    <x v="1"/>
    <x v="5"/>
    <x v="5"/>
    <x v="0"/>
    <s v="PLACILLA"/>
    <s v="Z000000369"/>
    <s v="PLACILLA"/>
    <s v="40098"/>
    <s v="VALENCIA Y PACHECO LIMITADA"/>
    <s v="104452"/>
    <s v="BLUEMAX"/>
    <n v="605"/>
    <n v="196"/>
    <n v="0"/>
    <n v="84.05"/>
    <n v="324.95"/>
    <n v="779"/>
    <n v="654.62"/>
    <n v="49.62"/>
  </r>
  <r>
    <x v="0"/>
    <x v="4"/>
    <x v="4"/>
    <x v="0"/>
    <s v="LOS VILOS"/>
    <s v="Z000000292"/>
    <s v="LOS VILOS"/>
    <s v="40055"/>
    <s v="ADMINISTRADORA  VENTAS AL DETA"/>
    <s v="104452"/>
    <s v="BLUEMAX"/>
    <n v="621"/>
    <n v="196"/>
    <n v="0"/>
    <n v="324.55"/>
    <n v="100.45"/>
    <n v="817"/>
    <n v="686.55"/>
    <n v="65.55"/>
  </r>
  <r>
    <x v="0"/>
    <x v="4"/>
    <x v="4"/>
    <x v="0"/>
    <s v="LOS VILOS"/>
    <s v="Z000000292"/>
    <s v="LOS VILOS"/>
    <s v="40163"/>
    <s v="COMERCIAL Y TURISMO AMANCAY LI"/>
    <s v="104452"/>
    <s v="BLUEMAX"/>
    <n v="621"/>
    <n v="196"/>
    <n v="0"/>
    <n v="324.55"/>
    <n v="100.45"/>
    <n v="817"/>
    <n v="686.55"/>
    <n v="65.55"/>
  </r>
  <r>
    <x v="0"/>
    <x v="4"/>
    <x v="4"/>
    <x v="0"/>
    <s v="LOS VILOS"/>
    <s v="Z000000292"/>
    <s v="LOS VILOS"/>
    <s v="40390"/>
    <s v="ADMINISTRADORA  VENTAS AL DETA"/>
    <s v="104452"/>
    <s v="BLUEMAX"/>
    <n v="621"/>
    <n v="196"/>
    <n v="0"/>
    <n v="324.55"/>
    <n v="100.45"/>
    <n v="817"/>
    <n v="686.55"/>
    <n v="65.55"/>
  </r>
  <r>
    <x v="0"/>
    <x v="4"/>
    <x v="4"/>
    <x v="0"/>
    <s v="COQUIMBO"/>
    <s v="Z000000260"/>
    <s v="COQUIMBO"/>
    <s v="40525"/>
    <s v="SANDRO SCHIAPPACASSE S.A."/>
    <s v="104452"/>
    <s v="BLUEMAX"/>
    <n v="621"/>
    <n v="196"/>
    <n v="0"/>
    <n v="163.32"/>
    <n v="261.68"/>
    <n v="798"/>
    <n v="670.59"/>
    <n v="49.59"/>
  </r>
  <r>
    <x v="1"/>
    <x v="5"/>
    <x v="5"/>
    <x v="0"/>
    <s v="LLAILLAY"/>
    <s v="Z000000347"/>
    <s v="LLAY LLAY"/>
    <s v="40560"/>
    <s v="ADMINISTRADORA  VENTAS AL DETA"/>
    <s v="104452"/>
    <s v="BLUEMAX"/>
    <n v="605"/>
    <n v="196"/>
    <n v="0"/>
    <n v="134.94"/>
    <n v="274.06"/>
    <n v="779"/>
    <n v="654.62"/>
    <n v="49.62"/>
  </r>
  <r>
    <x v="0"/>
    <x v="4"/>
    <x v="4"/>
    <x v="0"/>
    <s v="LA SERENA"/>
    <s v="Z000000247"/>
    <s v="LA SERENA"/>
    <s v="40602"/>
    <s v="COMERCIAL Y SERVICIOS GB LIMIT"/>
    <s v="104452"/>
    <s v="BLUEMAX"/>
    <n v="621"/>
    <n v="196"/>
    <n v="0"/>
    <n v="219.38"/>
    <n v="205.62"/>
    <n v="798"/>
    <n v="670.59"/>
    <n v="49.59"/>
  </r>
  <r>
    <x v="1"/>
    <x v="5"/>
    <x v="5"/>
    <x v="0"/>
    <s v="TABOLANGO"/>
    <s v="Z000000130"/>
    <s v="TABOLANGO"/>
    <s v="40603"/>
    <s v="COMERCIAL Y SERVICIOS SIGNUM L"/>
    <s v="104452"/>
    <s v="BLUEMAX"/>
    <n v="605"/>
    <n v="196"/>
    <n v="0"/>
    <n v="174.19"/>
    <n v="234.81"/>
    <n v="798"/>
    <n v="670.59"/>
    <n v="65.59"/>
  </r>
  <r>
    <x v="1"/>
    <x v="5"/>
    <x v="5"/>
    <x v="0"/>
    <s v="SAN ANTONIO"/>
    <s v="Z000000458"/>
    <s v="SAN ANTONIO"/>
    <s v="40515"/>
    <s v="COMERCIAL S R K Y COMPANIA LIM"/>
    <s v="104452"/>
    <s v="BLUEMAX"/>
    <n v="605"/>
    <n v="196"/>
    <n v="0"/>
    <n v="161.36000000000001"/>
    <n v="247.64"/>
    <n v="803"/>
    <n v="674.79"/>
    <n v="69.790000000000006"/>
  </r>
  <r>
    <x v="1"/>
    <x v="6"/>
    <x v="6"/>
    <x v="0"/>
    <s v="SAN CARLOS"/>
    <s v="Z000001240"/>
    <s v="SAN CARLOS CARRETERA"/>
    <s v="20017"/>
    <s v="ADMINISTRADORA  VENTAS AL DETA"/>
    <s v="104452"/>
    <s v="BLUEMAX"/>
    <n v="605"/>
    <n v="196"/>
    <n v="0"/>
    <n v="132.47"/>
    <n v="276.52999999999997"/>
    <n v="780"/>
    <n v="655.46"/>
    <n v="50.46"/>
  </r>
  <r>
    <x v="1"/>
    <x v="7"/>
    <x v="7"/>
    <x v="0"/>
    <s v="PARRAL"/>
    <s v="Z000001195"/>
    <s v="PARRAL CARRETERA"/>
    <s v="20090"/>
    <s v="COMERCIAL Y SERVICIOS A &amp; M LI"/>
    <s v="104452"/>
    <s v="BLUEMAX"/>
    <n v="605"/>
    <n v="196"/>
    <n v="0"/>
    <n v="84.84"/>
    <n v="324.16000000000003"/>
    <n v="780"/>
    <n v="655.46"/>
    <n v="50.46"/>
  </r>
  <r>
    <x v="2"/>
    <x v="8"/>
    <x v="8"/>
    <x v="0"/>
    <s v="CONCEPCIÓN"/>
    <s v="Z000000674"/>
    <s v="CONCEPCION"/>
    <s v="20286"/>
    <s v="FORTEZA BUSTOS DISTRIBUCION DE"/>
    <s v="104452"/>
    <s v="BLUEMAX"/>
    <n v="626"/>
    <n v="196"/>
    <n v="37.67"/>
    <n v="69.849999999999994"/>
    <n v="322.48"/>
    <n v="805"/>
    <n v="676.47"/>
    <n v="50.47"/>
  </r>
  <r>
    <x v="1"/>
    <x v="6"/>
    <x v="6"/>
    <x v="0"/>
    <s v="CHILLÁN"/>
    <s v="Z000001194"/>
    <s v="CHILLAN CARRETERA"/>
    <s v="20336"/>
    <s v="COMERCIAL SANTA SOLEDAD LIMITA"/>
    <s v="104452"/>
    <s v="BLUEMAX"/>
    <n v="605"/>
    <n v="196"/>
    <n v="0"/>
    <n v="93.11"/>
    <n v="315.89"/>
    <n v="780"/>
    <n v="655.46"/>
    <n v="50.46"/>
  </r>
  <r>
    <x v="2"/>
    <x v="9"/>
    <x v="9"/>
    <x v="0"/>
    <s v="FREIRE"/>
    <s v="Z000000862"/>
    <s v="FREIRE"/>
    <s v="20606"/>
    <s v="DISTRIBUIDORA DE COMBUSTIBLES"/>
    <s v="104452"/>
    <s v="BLUEMAX"/>
    <n v="655"/>
    <n v="196"/>
    <n v="37.67"/>
    <n v="108.39"/>
    <n v="312.94"/>
    <n v="816"/>
    <n v="685.71"/>
    <n v="30.71"/>
  </r>
  <r>
    <x v="2"/>
    <x v="9"/>
    <x v="9"/>
    <x v="0"/>
    <s v="LONCOCHE"/>
    <s v="Z000000872"/>
    <s v="LONCOCHE"/>
    <s v="20607"/>
    <s v="ADMINISTRADORA  VENTAS AL DETA"/>
    <s v="104452"/>
    <s v="BLUEMAX"/>
    <n v="655"/>
    <n v="196"/>
    <n v="37.67"/>
    <n v="116.28"/>
    <n v="305.05"/>
    <n v="840"/>
    <n v="705.88"/>
    <n v="50.88"/>
  </r>
  <r>
    <x v="2"/>
    <x v="8"/>
    <x v="8"/>
    <x v="0"/>
    <s v="LOS ÁNGELES"/>
    <s v="Z000000022"/>
    <s v="LOS ANGELES 2"/>
    <s v="20609"/>
    <s v="ADMINISTRADORA  VENTAS AL DETA"/>
    <s v="104452"/>
    <s v="BLUEMAX"/>
    <n v="626"/>
    <n v="196"/>
    <n v="37.67"/>
    <n v="77.989999999999995"/>
    <n v="314.33999999999997"/>
    <n v="805"/>
    <n v="676.47"/>
    <n v="50.47"/>
  </r>
  <r>
    <x v="2"/>
    <x v="9"/>
    <x v="9"/>
    <x v="0"/>
    <s v="LAUTARO"/>
    <s v="Z000000840"/>
    <s v="LAUTARO"/>
    <s v="20782"/>
    <s v="BOERI, RUIZ Y CIA. LTDA."/>
    <s v="104452"/>
    <s v="BLUEMAX"/>
    <n v="655"/>
    <n v="196"/>
    <n v="37.67"/>
    <n v="100.31"/>
    <n v="321.02"/>
    <n v="798"/>
    <n v="670.59"/>
    <n v="15.59"/>
  </r>
  <r>
    <x v="2"/>
    <x v="8"/>
    <x v="8"/>
    <x v="0"/>
    <s v="LOS ÁNGELES"/>
    <s v="Z000000022"/>
    <s v="LOS ANGELES 2"/>
    <s v="20859"/>
    <s v="ADMINISTRADORA  VENTAS AL DETA"/>
    <s v="104452"/>
    <s v="BLUEMAX"/>
    <n v="626"/>
    <n v="196"/>
    <n v="37.67"/>
    <n v="77.989999999999995"/>
    <n v="314.33999999999997"/>
    <n v="805"/>
    <n v="676.47"/>
    <n v="50.47"/>
  </r>
  <r>
    <x v="2"/>
    <x v="8"/>
    <x v="8"/>
    <x v="0"/>
    <s v="PENCO"/>
    <s v="Z000000677"/>
    <s v="PENCO"/>
    <s v="20901"/>
    <s v="ALFONSO NEUMANN E HIJOS LTDA."/>
    <s v="104452"/>
    <s v="BLUEMAX"/>
    <n v="626"/>
    <n v="196"/>
    <n v="37.67"/>
    <n v="81.3"/>
    <n v="311.02999999999997"/>
    <n v="815"/>
    <n v="684.87"/>
    <n v="58.87"/>
  </r>
  <r>
    <x v="2"/>
    <x v="9"/>
    <x v="9"/>
    <x v="0"/>
    <s v="VICTORIA"/>
    <s v="Z000001217"/>
    <s v="VICTORIA CARRETERA"/>
    <s v="20092"/>
    <s v="ADMINISTRADORA  VENTAS AL DETA"/>
    <s v="104452"/>
    <s v="BLUEMAX"/>
    <n v="655"/>
    <n v="196"/>
    <n v="37.67"/>
    <n v="115.31"/>
    <n v="306.02"/>
    <n v="839"/>
    <n v="705.04"/>
    <n v="50.04"/>
  </r>
  <r>
    <x v="1"/>
    <x v="6"/>
    <x v="6"/>
    <x v="0"/>
    <s v="CHILLÁN"/>
    <s v="Z000001194"/>
    <s v="CHILLAN CARRETERA"/>
    <s v="20952"/>
    <s v="COMERCIAL NAVEA Y SALINAS LTDA"/>
    <s v="104452"/>
    <s v="BLUEMAX"/>
    <n v="605"/>
    <n v="196"/>
    <n v="0"/>
    <n v="93.11"/>
    <n v="315.89"/>
    <n v="780"/>
    <n v="655.46"/>
    <n v="50.46"/>
  </r>
  <r>
    <x v="2"/>
    <x v="8"/>
    <x v="8"/>
    <x v="0"/>
    <s v="LOMAS COLORADAS"/>
    <s v="Z000000687"/>
    <s v="LOMAS COLORADAS"/>
    <s v="20864"/>
    <s v="COMERCIAL Y SERVICIO GALLARDO"/>
    <s v="104452"/>
    <s v="BLUEMAX"/>
    <n v="626"/>
    <n v="196"/>
    <n v="37.67"/>
    <n v="58.21"/>
    <n v="334.12"/>
    <n v="805"/>
    <n v="676.47"/>
    <n v="50.47"/>
  </r>
  <r>
    <x v="2"/>
    <x v="8"/>
    <x v="8"/>
    <x v="0"/>
    <s v="CABRERO"/>
    <s v="Z000000692"/>
    <s v="CABRERO"/>
    <s v="20501"/>
    <s v="COMERCIAL QUECHEREGUAS LTDA."/>
    <s v="104452"/>
    <s v="BLUEMAX"/>
    <n v="626"/>
    <n v="196"/>
    <n v="37.67"/>
    <n v="73.7"/>
    <n v="318.63"/>
    <n v="823"/>
    <n v="691.6"/>
    <n v="65.599999999999994"/>
  </r>
  <r>
    <x v="2"/>
    <x v="8"/>
    <x v="8"/>
    <x v="0"/>
    <s v="ARAUCO"/>
    <s v="Z000000702"/>
    <s v="ARAUCO"/>
    <s v="20509"/>
    <s v="INMOBILIARIA Y COMERCIAL FOMAC"/>
    <s v="104452"/>
    <s v="BLUEMAX"/>
    <n v="626"/>
    <n v="196"/>
    <n v="37.67"/>
    <n v="78.52"/>
    <n v="313.81"/>
    <n v="804"/>
    <n v="675.63"/>
    <n v="49.63"/>
  </r>
  <r>
    <x v="2"/>
    <x v="9"/>
    <x v="9"/>
    <x v="0"/>
    <s v="RENAICO"/>
    <s v="Z000000747"/>
    <s v="RENAICO"/>
    <s v="20589"/>
    <s v="ADMINISTRADORA  VENTAS AL DETA"/>
    <s v="104452"/>
    <s v="BLUEMAX"/>
    <n v="626"/>
    <n v="196"/>
    <n v="37.67"/>
    <n v="75.3"/>
    <n v="317.02999999999997"/>
    <n v="805"/>
    <n v="676.47"/>
    <n v="50.47"/>
  </r>
  <r>
    <x v="2"/>
    <x v="10"/>
    <x v="10"/>
    <x v="0"/>
    <s v="SAN JOSÉ DE LA MARIQUINA"/>
    <s v="Z000000880"/>
    <s v="SN.J.DE LA MARI"/>
    <s v="20071"/>
    <s v="ADMINISTRADORA  VENTAS AL DETA"/>
    <s v="104452"/>
    <s v="BLUEMAX"/>
    <n v="655"/>
    <n v="196"/>
    <n v="37.67"/>
    <n v="169.62"/>
    <n v="251.71"/>
    <n v="840"/>
    <n v="705.88"/>
    <n v="50.88"/>
  </r>
  <r>
    <x v="2"/>
    <x v="11"/>
    <x v="11"/>
    <x v="0"/>
    <s v="PUERTO VARAS"/>
    <s v="Z000000944"/>
    <s v="PTO VARAS"/>
    <s v="20089"/>
    <s v="COMERCIAL DASEFE LIMITADA"/>
    <s v="104452"/>
    <s v="BLUEMAX"/>
    <n v="680"/>
    <n v="196"/>
    <n v="37.67"/>
    <n v="115.82"/>
    <n v="330.51"/>
    <n v="870"/>
    <n v="731.09"/>
    <n v="51.09"/>
  </r>
  <r>
    <x v="2"/>
    <x v="11"/>
    <x v="11"/>
    <x v="0"/>
    <s v="TRAFÚN"/>
    <s v="Z000000923"/>
    <s v="TRAFUN"/>
    <s v="20091"/>
    <s v="DANIEL VILLAR Y CIA.  LTDA."/>
    <s v="104452"/>
    <s v="BLUEMAX"/>
    <n v="680"/>
    <n v="196"/>
    <n v="37.67"/>
    <n v="175"/>
    <n v="271.33"/>
    <n v="870"/>
    <n v="731.09"/>
    <n v="51.09"/>
  </r>
  <r>
    <x v="2"/>
    <x v="11"/>
    <x v="11"/>
    <x v="0"/>
    <s v="PUERTO MONTT"/>
    <s v="Z000000952"/>
    <s v="PTO MONTT"/>
    <s v="20213"/>
    <s v="BERGUECIO Y EBENSPERGER LIMITA"/>
    <s v="104452"/>
    <s v="BLUEMAX"/>
    <n v="680"/>
    <n v="196"/>
    <n v="37.67"/>
    <n v="109.21"/>
    <n v="337.12"/>
    <n v="870"/>
    <n v="731.09"/>
    <n v="51.09"/>
  </r>
  <r>
    <x v="2"/>
    <x v="11"/>
    <x v="11"/>
    <x v="0"/>
    <s v="TRAFÚN"/>
    <s v="Z000000923"/>
    <s v="TRAFUN"/>
    <s v="20605"/>
    <s v="SOCIEDAD DE TRANSPORTES STEUER"/>
    <s v="104452"/>
    <s v="BLUEMAX"/>
    <n v="680"/>
    <n v="196"/>
    <n v="37.67"/>
    <n v="175"/>
    <n v="271.33"/>
    <n v="870"/>
    <n v="731.09"/>
    <n v="51.09"/>
  </r>
  <r>
    <x v="2"/>
    <x v="11"/>
    <x v="11"/>
    <x v="0"/>
    <s v="OSORNO"/>
    <s v="Z000000919"/>
    <s v="OSORNO"/>
    <s v="20523"/>
    <s v="DISTRIBUIDORA COMERCIAL P &amp; G"/>
    <s v="104452"/>
    <s v="BLUEMAX"/>
    <n v="680"/>
    <n v="196"/>
    <n v="37.67"/>
    <n v="142.76"/>
    <n v="303.57"/>
    <n v="846"/>
    <n v="710.92"/>
    <n v="30.92"/>
  </r>
  <r>
    <x v="2"/>
    <x v="11"/>
    <x v="11"/>
    <x v="0"/>
    <s v="PARGUA"/>
    <s v="Z000000962"/>
    <s v="PARGUA"/>
    <s v="20579"/>
    <s v="ADMINISTRADORA  VENTAS AL DETA"/>
    <s v="104452"/>
    <s v="BLUEMAX"/>
    <n v="680"/>
    <n v="196"/>
    <n v="37.67"/>
    <n v="158.13"/>
    <n v="288.2"/>
    <n v="870"/>
    <n v="731.09"/>
    <n v="51.09"/>
  </r>
  <r>
    <x v="2"/>
    <x v="12"/>
    <x v="12"/>
    <x v="0"/>
    <s v="PUNTA ARENAS"/>
    <s v="Z000000991"/>
    <s v="PTA ARENAS"/>
    <s v="20622"/>
    <s v="SOC. COMERCIAL VENEGAS Y COMPA"/>
    <s v="104452"/>
    <s v="BLUEMAX"/>
    <n v="1018"/>
    <n v="196"/>
    <n v="37.67"/>
    <n v="226.83"/>
    <n v="557.5"/>
    <n v="1301"/>
    <n v="1093.28"/>
    <n v="75.28"/>
  </r>
  <r>
    <x v="1"/>
    <x v="7"/>
    <x v="7"/>
    <x v="0"/>
    <s v="SAN RAFAEL"/>
    <s v="Z000000571"/>
    <s v="SAN RAFAEL"/>
    <s v="20012"/>
    <s v="ADMINISTRADORA  VENTAS AL DETA"/>
    <s v="104452"/>
    <s v="BLUEMAX"/>
    <n v="605"/>
    <n v="196"/>
    <n v="37.67"/>
    <n v="108.03"/>
    <n v="263.3"/>
    <n v="780"/>
    <n v="655.46"/>
    <n v="50.46"/>
  </r>
  <r>
    <x v="1"/>
    <x v="7"/>
    <x v="7"/>
    <x v="0"/>
    <s v="MAULE"/>
    <s v="Z000000572"/>
    <s v="MAULE"/>
    <s v="20954"/>
    <s v="ADMINISTRADORA  VENTAS AL DETA"/>
    <s v="104452"/>
    <s v="BLUEMAX"/>
    <n v="605"/>
    <n v="196"/>
    <n v="37.67"/>
    <n v="115.55"/>
    <n v="255.78"/>
    <n v="780"/>
    <n v="655.46"/>
    <n v="50.46"/>
  </r>
  <r>
    <x v="1"/>
    <x v="13"/>
    <x v="13"/>
    <x v="0"/>
    <s v="RUTA 78"/>
    <s v="Z000000645"/>
    <s v="RUTA 78"/>
    <s v="60029"/>
    <s v="ADMINISTRADORA  VENTAS AL DETA"/>
    <s v="104452"/>
    <s v="BLUEMAX"/>
    <n v="617"/>
    <n v="196"/>
    <n v="0"/>
    <n v="164.93"/>
    <n v="256.07"/>
    <n v="789"/>
    <n v="663.03"/>
    <n v="46.03"/>
  </r>
  <r>
    <x v="1"/>
    <x v="13"/>
    <x v="13"/>
    <x v="0"/>
    <s v="RUTA 78"/>
    <s v="Z000000645"/>
    <s v="RUTA 78"/>
    <s v="60032"/>
    <s v="ADMINISTRADORA  VENTAS AL DETA"/>
    <s v="104452"/>
    <s v="BLUEMAX"/>
    <n v="617"/>
    <n v="196"/>
    <n v="0"/>
    <n v="164.93"/>
    <n v="256.07"/>
    <n v="789"/>
    <n v="663.03"/>
    <n v="46.03"/>
  </r>
  <r>
    <x v="1"/>
    <x v="14"/>
    <x v="14"/>
    <x v="0"/>
    <s v="SAN FERNANDO"/>
    <s v="Z000000538"/>
    <s v="SAN FERNANDO"/>
    <s v="60076"/>
    <s v="COMERCIAL G.Q. LIMITADA"/>
    <s v="104452"/>
    <s v="BLUEMAX"/>
    <n v="600"/>
    <n v="196"/>
    <n v="0"/>
    <n v="361.23"/>
    <n v="42.77"/>
    <n v="757"/>
    <n v="636.13"/>
    <n v="36.130000000000003"/>
  </r>
  <r>
    <x v="1"/>
    <x v="13"/>
    <x v="13"/>
    <x v="0"/>
    <s v="PUDAHUEL"/>
    <s v="Z000000025"/>
    <s v="PUDAHUEL"/>
    <s v="60312"/>
    <s v="COMERCIAL Y SERVICIOS A &amp; D LI"/>
    <s v="104452"/>
    <s v="BLUEMAX"/>
    <n v="617"/>
    <n v="196"/>
    <n v="0"/>
    <n v="123.16"/>
    <n v="297.83999999999997"/>
    <n v="794"/>
    <n v="667.23"/>
    <n v="50.23"/>
  </r>
  <r>
    <x v="1"/>
    <x v="14"/>
    <x v="14"/>
    <x v="0"/>
    <s v="CHIMBARONGO"/>
    <s v="Z000000541"/>
    <s v="CHIMBARONGO"/>
    <s v="60336"/>
    <s v="COMERCIAL Y SERVICIOS RIVO LIM"/>
    <s v="104452"/>
    <s v="BLUEMAX"/>
    <n v="600"/>
    <n v="196"/>
    <n v="0"/>
    <n v="158.49"/>
    <n v="245.51"/>
    <n v="780"/>
    <n v="655.46"/>
    <n v="55.46"/>
  </r>
  <r>
    <x v="1"/>
    <x v="7"/>
    <x v="7"/>
    <x v="0"/>
    <s v="SAN JAVIER"/>
    <s v="Z000001185"/>
    <s v="SAN JAVIER CARRETERA"/>
    <s v="20094"/>
    <s v="SOCIEDAD COMERCIALIZADORA NUEV"/>
    <s v="104452"/>
    <s v="BLUEMAX"/>
    <n v="605"/>
    <n v="196"/>
    <n v="37.67"/>
    <n v="89.8"/>
    <n v="281.52999999999997"/>
    <n v="780"/>
    <n v="655.46"/>
    <n v="50.46"/>
  </r>
  <r>
    <x v="1"/>
    <x v="13"/>
    <x v="13"/>
    <x v="0"/>
    <s v="CONCHALÍ - RENCA"/>
    <s v="Z000000027"/>
    <s v="CONCH RENCA"/>
    <s v="60166"/>
    <s v="GRANESE Y URRUTIA LTDA."/>
    <s v="104452"/>
    <s v="BLUEMAX"/>
    <n v="617"/>
    <n v="196"/>
    <n v="0"/>
    <n v="194.92"/>
    <n v="226.08"/>
    <n v="667"/>
    <n v="0"/>
    <n v="-617"/>
  </r>
  <r>
    <x v="1"/>
    <x v="14"/>
    <x v="14"/>
    <x v="0"/>
    <s v="SAN FRANCISCO DE MOSTAZAL"/>
    <s v="Z000000484"/>
    <s v="SN FCO.MOSTAZAL"/>
    <s v="60470"/>
    <s v="COMERCIAL LA PUNTA LIMITADA"/>
    <s v="104452"/>
    <s v="BLUEMAX"/>
    <n v="617"/>
    <n v="196"/>
    <n v="0"/>
    <n v="240.35"/>
    <n v="180.65"/>
    <n v="777"/>
    <n v="652.94000000000005"/>
    <n v="35.94"/>
  </r>
  <r>
    <x v="1"/>
    <x v="13"/>
    <x v="13"/>
    <x v="0"/>
    <s v="LAMPA"/>
    <s v="Z000000411"/>
    <s v="LAMPA CARRETERA"/>
    <s v="60721"/>
    <s v="COMERCIAL Y SERVICIOS SAN IGNA"/>
    <s v="104452"/>
    <s v="BLUEMAX"/>
    <n v="617"/>
    <n v="196"/>
    <n v="0"/>
    <n v="143.87"/>
    <n v="277.13"/>
    <n v="794"/>
    <n v="667.23"/>
    <n v="50.23"/>
  </r>
  <r>
    <x v="1"/>
    <x v="14"/>
    <x v="14"/>
    <x v="0"/>
    <s v="LOS LIRIOS"/>
    <s v="Z000000087"/>
    <s v="LOS LIRIOS"/>
    <s v="60781"/>
    <s v="COMERCIAL E INVERSIONES BORQUE"/>
    <s v="104452"/>
    <s v="BLUEMAX"/>
    <n v="617"/>
    <n v="196"/>
    <n v="0"/>
    <n v="312.38"/>
    <n v="108.62"/>
    <n v="795"/>
    <n v="668.07"/>
    <n v="51.07"/>
  </r>
  <r>
    <x v="1"/>
    <x v="7"/>
    <x v="7"/>
    <x v="0"/>
    <s v="ROMERAL"/>
    <s v="Z000000432"/>
    <s v="ROMERAL"/>
    <s v="60782"/>
    <s v="ADMINISTRADORA  VENTAS AL DETA"/>
    <s v="104452"/>
    <s v="BLUEMAX"/>
    <n v="600"/>
    <n v="196"/>
    <n v="0"/>
    <n v="247.86"/>
    <n v="156.13999999999999"/>
    <n v="769"/>
    <n v="646.22"/>
    <n v="46.22"/>
  </r>
  <r>
    <x v="1"/>
    <x v="13"/>
    <x v="13"/>
    <x v="0"/>
    <s v="SAN BERNARDO"/>
    <s v="Z000000035"/>
    <s v="SAN BERNARDO"/>
    <s v="60006"/>
    <s v="COMERCIAL Y SERVICIOS TARAHUIN"/>
    <s v="104452"/>
    <s v="BLUEMAX"/>
    <n v="617"/>
    <n v="196"/>
    <n v="0"/>
    <n v="153.99"/>
    <n v="267.01"/>
    <n v="763"/>
    <n v="641.17999999999995"/>
    <n v="24.18"/>
  </r>
  <r>
    <x v="1"/>
    <x v="13"/>
    <x v="13"/>
    <x v="0"/>
    <s v="MAIPÚ"/>
    <s v="Z000000037"/>
    <s v="MAIPU"/>
    <s v="60517"/>
    <s v="SANTA AUGUSTA LTDA."/>
    <s v="104452"/>
    <s v="BLUEMAX"/>
    <n v="617"/>
    <n v="196"/>
    <n v="0"/>
    <n v="148.24"/>
    <n v="272.76"/>
    <n v="795"/>
    <n v="668.07"/>
    <n v="51.07"/>
  </r>
  <r>
    <x v="1"/>
    <x v="7"/>
    <x v="7"/>
    <x v="0"/>
    <s v="SAGRADA FAMILIA"/>
    <s v="Z000000550"/>
    <s v="SAGRADA FLIA."/>
    <s v="60209"/>
    <s v="ADMINISTRADORA  VENTAS AL DETA"/>
    <s v="104452"/>
    <s v="BLUEMAX"/>
    <n v="600"/>
    <n v="196"/>
    <n v="0"/>
    <n v="434.79"/>
    <n v="-30.79"/>
    <n v="774"/>
    <n v="650.41999999999996"/>
    <n v="50.42"/>
  </r>
  <r>
    <x v="1"/>
    <x v="13"/>
    <x v="13"/>
    <x v="0"/>
    <s v="SAN BERNARDO"/>
    <s v="Z000000035"/>
    <s v="SAN BERNARDO"/>
    <s v="60280"/>
    <s v="COMERCIAL PEREA Y COMPANIA LIM"/>
    <s v="104452"/>
    <s v="BLUEMAX"/>
    <n v="617"/>
    <n v="196"/>
    <n v="0"/>
    <n v="153.99"/>
    <n v="267.01"/>
    <n v="795"/>
    <n v="668.07"/>
    <n v="51.07"/>
  </r>
  <r>
    <x v="1"/>
    <x v="7"/>
    <x v="7"/>
    <x v="0"/>
    <s v="TENO"/>
    <s v="Z000000546"/>
    <s v="TENO"/>
    <s v="60295"/>
    <s v="ADMINISTRADORA  VENTAS AL DETA"/>
    <s v="104452"/>
    <s v="BLUEMAX"/>
    <n v="600"/>
    <n v="196"/>
    <n v="0"/>
    <n v="552.48"/>
    <n v="-148.47999999999999"/>
    <n v="762"/>
    <n v="640.34"/>
    <n v="40.340000000000003"/>
  </r>
  <r>
    <x v="1"/>
    <x v="7"/>
    <x v="7"/>
    <x v="0"/>
    <s v="CONSTITUCIÓN"/>
    <s v="Z000000583"/>
    <s v="CONSTITUCION"/>
    <s v="20380"/>
    <s v="VALLEJO Y COMPANIA LIMITADA"/>
    <s v="104452"/>
    <s v="BLUEMAX"/>
    <n v="605"/>
    <n v="196"/>
    <n v="0"/>
    <n v="149.35"/>
    <n v="259.64999999999998"/>
    <n v="780"/>
    <n v="655.46"/>
    <n v="50.46"/>
  </r>
  <r>
    <x v="1"/>
    <x v="7"/>
    <x v="7"/>
    <x v="0"/>
    <s v="PANGUILEMO"/>
    <s v="Z000000570"/>
    <s v="PANGUILLEMU"/>
    <s v="20648"/>
    <s v="EDUARDO RAUL ESPINOZA ORELLANA"/>
    <s v="104452"/>
    <s v="BLUEMAX"/>
    <n v="605"/>
    <n v="196"/>
    <n v="0"/>
    <n v="107.76"/>
    <n v="301.24"/>
    <n v="780"/>
    <n v="655.46"/>
    <n v="50.46"/>
  </r>
  <r>
    <x v="1"/>
    <x v="5"/>
    <x v="5"/>
    <x v="0"/>
    <s v="HIJUELAS"/>
    <s v="Z000000367"/>
    <s v="HIJUELAS"/>
    <s v="40035"/>
    <s v="LA CUMBRE ESTACIONES DE SERVIC"/>
    <s v="104452"/>
    <s v="BLUEMAX"/>
    <n v="605"/>
    <n v="196"/>
    <n v="0"/>
    <n v="219.46"/>
    <n v="189.54"/>
    <n v="779"/>
    <n v="654.62"/>
    <n v="49.62"/>
  </r>
  <r>
    <x v="1"/>
    <x v="14"/>
    <x v="14"/>
    <x v="0"/>
    <s v="SAN FRANCISCO DE MOSTAZAL"/>
    <s v="Z000000484"/>
    <s v="SN FCO.MOSTAZAL"/>
    <s v="60471"/>
    <s v="EDUARDO GAMBOA Y ANDERSSON LTD"/>
    <s v="104452"/>
    <s v="BLUEMAX"/>
    <n v="617"/>
    <n v="196"/>
    <n v="37.67"/>
    <n v="240.35"/>
    <n v="142.97999999999999"/>
    <n v="777"/>
    <n v="652.94000000000005"/>
    <n v="35.94"/>
  </r>
  <r>
    <x v="2"/>
    <x v="9"/>
    <x v="9"/>
    <x v="1"/>
    <s v="TEMUCO"/>
    <s v="NA"/>
    <s v="TEMUCO"/>
    <s v="NA"/>
    <s v="NA"/>
    <s v="NA"/>
    <s v="NA"/>
    <s v="NA"/>
    <s v="NA"/>
    <s v="NA"/>
    <s v="NA"/>
    <s v="NA"/>
    <n v="1170"/>
    <s v="NA"/>
    <s v="NA"/>
  </r>
  <r>
    <x v="2"/>
    <x v="9"/>
    <x v="9"/>
    <x v="2"/>
    <s v="VICTORIA"/>
    <s v="NA"/>
    <s v="VICTORIA"/>
    <s v="NA"/>
    <s v="NA"/>
    <s v="NA"/>
    <s v="NA"/>
    <s v="NA"/>
    <s v="NA"/>
    <s v="NA"/>
    <s v="NA"/>
    <s v="NA"/>
    <n v="822"/>
    <s v="NA"/>
    <s v="NA"/>
  </r>
  <r>
    <x v="0"/>
    <x v="1"/>
    <x v="1"/>
    <x v="2"/>
    <s v="ARICA"/>
    <s v="NA"/>
    <s v="ARICA"/>
    <s v="NA"/>
    <s v="NA"/>
    <s v="NA"/>
    <s v="NA"/>
    <s v="NA"/>
    <s v="NA"/>
    <s v="NA"/>
    <s v="NA"/>
    <s v="NA"/>
    <n v="900"/>
    <s v="NA"/>
    <s v="NA"/>
  </r>
  <r>
    <x v="0"/>
    <x v="3"/>
    <x v="3"/>
    <x v="2"/>
    <s v="COPIAPÓ"/>
    <s v="NA"/>
    <s v="COPIAPÓ"/>
    <s v="NA"/>
    <s v="NA"/>
    <s v="NA"/>
    <s v="NA"/>
    <s v="NA"/>
    <s v="NA"/>
    <s v="NA"/>
    <s v="NA"/>
    <s v="NA"/>
    <n v="905"/>
    <s v="NA"/>
    <s v="NA"/>
  </r>
  <r>
    <x v="2"/>
    <x v="8"/>
    <x v="8"/>
    <x v="2"/>
    <s v="TALCAHUANO"/>
    <s v="NA"/>
    <s v="TALCAHUANO"/>
    <s v="NA"/>
    <s v="NA"/>
    <s v="NA"/>
    <s v="NA"/>
    <s v="NA"/>
    <s v="NA"/>
    <s v="NA"/>
    <s v="NA"/>
    <s v="NA"/>
    <n v="835"/>
    <s v="NA"/>
    <s v="NA"/>
  </r>
  <r>
    <x v="0"/>
    <x v="4"/>
    <x v="4"/>
    <x v="2"/>
    <s v="OVALLE"/>
    <s v="NA"/>
    <s v="OVALLE"/>
    <s v="NA"/>
    <s v="NA"/>
    <s v="NA"/>
    <s v="NA"/>
    <s v="NA"/>
    <s v="NA"/>
    <s v="NA"/>
    <s v="NA"/>
    <s v="NA"/>
    <n v="837"/>
    <s v="NA"/>
    <s v="NA"/>
  </r>
  <r>
    <x v="2"/>
    <x v="11"/>
    <x v="11"/>
    <x v="3"/>
    <s v="PUERTO MONTT"/>
    <s v="NA"/>
    <s v="PUERTO MONTT"/>
    <s v="NA"/>
    <s v="NA"/>
    <s v="NA"/>
    <s v="NA"/>
    <s v="NA"/>
    <s v="NA"/>
    <s v="NA"/>
    <s v="NA"/>
    <s v="NA"/>
    <n v="952"/>
    <s v="NA"/>
    <s v="NA"/>
  </r>
  <r>
    <x v="2"/>
    <x v="11"/>
    <x v="11"/>
    <x v="2"/>
    <s v="PUERTO VARAS"/>
    <s v="NA"/>
    <s v="PUERTO VARAS"/>
    <s v="NA"/>
    <s v="NA"/>
    <s v="NA"/>
    <s v="NA"/>
    <s v="NA"/>
    <s v="NA"/>
    <s v="NA"/>
    <s v="NA"/>
    <s v="NA"/>
    <n v="900"/>
    <s v="NA"/>
    <s v="NA"/>
  </r>
  <r>
    <x v="2"/>
    <x v="10"/>
    <x v="10"/>
    <x v="4"/>
    <s v="PAILLACO"/>
    <s v="NA"/>
    <s v="PAILLACO"/>
    <s v="NA"/>
    <s v="NA"/>
    <s v="NA"/>
    <s v="NA"/>
    <s v="NA"/>
    <s v="NA"/>
    <s v="NA"/>
    <s v="NA"/>
    <s v="NA"/>
    <n v="855"/>
    <s v="NA"/>
    <s v="NA"/>
  </r>
  <r>
    <x v="2"/>
    <x v="10"/>
    <x v="10"/>
    <x v="2"/>
    <s v="SAN JOSÉ DE LA MARIQUINA"/>
    <s v="NA"/>
    <s v="MARIQUINA"/>
    <s v="NA"/>
    <s v="NA"/>
    <s v="NA"/>
    <s v="NA"/>
    <s v="NA"/>
    <s v="NA"/>
    <s v="NA"/>
    <s v="NA"/>
    <s v="NA"/>
    <n v="830"/>
    <s v="NA"/>
    <s v="NA"/>
  </r>
  <r>
    <x v="1"/>
    <x v="7"/>
    <x v="7"/>
    <x v="2"/>
    <s v="CURICÓ"/>
    <s v="NA"/>
    <s v="CURICÓ"/>
    <s v="NA"/>
    <s v="NA"/>
    <s v="NA"/>
    <s v="NA"/>
    <s v="NA"/>
    <s v="NA"/>
    <s v="NA"/>
    <s v="NA"/>
    <s v="NA"/>
    <n v="799"/>
    <s v="NA"/>
    <s v="NA"/>
  </r>
  <r>
    <x v="1"/>
    <x v="7"/>
    <x v="7"/>
    <x v="2"/>
    <s v="TALCA"/>
    <s v="NA"/>
    <s v="TALCA"/>
    <s v="NA"/>
    <s v="NA"/>
    <s v="NA"/>
    <s v="NA"/>
    <s v="NA"/>
    <s v="NA"/>
    <s v="NA"/>
    <s v="NA"/>
    <s v="NA"/>
    <n v="699"/>
    <s v="NA"/>
    <s v="NA"/>
  </r>
  <r>
    <x v="1"/>
    <x v="7"/>
    <x v="7"/>
    <x v="2"/>
    <s v="TALCA"/>
    <s v="NA"/>
    <s v="TALCA"/>
    <s v="NA"/>
    <s v="NA"/>
    <s v="NA"/>
    <s v="NA"/>
    <s v="NA"/>
    <s v="NA"/>
    <s v="NA"/>
    <s v="NA"/>
    <s v="NA"/>
    <n v="810"/>
    <s v="NA"/>
    <s v="NA"/>
  </r>
  <r>
    <x v="1"/>
    <x v="13"/>
    <x v="13"/>
    <x v="2"/>
    <s v="PEDRO AGUIRRE CERDA"/>
    <s v="NA"/>
    <s v="PEDRO AGUIRRE CERDA"/>
    <s v="NA"/>
    <s v="NA"/>
    <s v="NA"/>
    <s v="NA"/>
    <s v="NA"/>
    <s v="NA"/>
    <s v="NA"/>
    <s v="NA"/>
    <s v="NA"/>
    <n v="815"/>
    <s v="NA"/>
    <s v="NA"/>
  </r>
  <r>
    <x v="1"/>
    <x v="13"/>
    <x v="13"/>
    <x v="2"/>
    <s v="QUILICURA"/>
    <s v="NA"/>
    <s v="QUILICURA"/>
    <s v="NA"/>
    <s v="NA"/>
    <s v="NA"/>
    <s v="NA"/>
    <s v="NA"/>
    <s v="NA"/>
    <s v="NA"/>
    <s v="NA"/>
    <s v="NA"/>
    <n v="812.5"/>
    <s v="NA"/>
    <s v="NA"/>
  </r>
  <r>
    <x v="1"/>
    <x v="13"/>
    <x v="13"/>
    <x v="2"/>
    <s v="SAN BERNARDO"/>
    <s v="NA"/>
    <s v="SAN BERNARDO"/>
    <s v="NA"/>
    <s v="NA"/>
    <s v="NA"/>
    <s v="NA"/>
    <s v="NA"/>
    <s v="NA"/>
    <s v="NA"/>
    <s v="NA"/>
    <s v="NA"/>
    <n v="793"/>
    <s v="NA"/>
    <s v="NA"/>
  </r>
  <r>
    <x v="1"/>
    <x v="6"/>
    <x v="6"/>
    <x v="3"/>
    <s v="SAN CARLOS"/>
    <s v="NA"/>
    <s v="SAN CARLOS"/>
    <s v="NA"/>
    <s v="NA"/>
    <s v="NA"/>
    <s v="NA"/>
    <s v="NA"/>
    <s v="NA"/>
    <s v="NA"/>
    <s v="NA"/>
    <s v="NA"/>
    <n v="862"/>
    <s v="NA"/>
    <s v="NA"/>
  </r>
  <r>
    <x v="1"/>
    <x v="6"/>
    <x v="6"/>
    <x v="2"/>
    <s v="CHILLÁN VIEJO"/>
    <s v="NA"/>
    <s v="CHILLÁN VIEJO"/>
    <s v="NA"/>
    <s v="NA"/>
    <s v="NA"/>
    <s v="NA"/>
    <s v="NA"/>
    <s v="NA"/>
    <s v="NA"/>
    <s v="NA"/>
    <s v="NA"/>
    <n v="810"/>
    <s v="NA"/>
    <s v="NA"/>
  </r>
  <r>
    <x v="1"/>
    <x v="6"/>
    <x v="6"/>
    <x v="2"/>
    <s v="SAN CARLOS"/>
    <s v="NA"/>
    <s v="SAN CARLOS"/>
    <s v="NA"/>
    <s v="NA"/>
    <s v="NA"/>
    <s v="NA"/>
    <s v="NA"/>
    <s v="NA"/>
    <s v="NA"/>
    <s v="NA"/>
    <s v="NA"/>
    <n v="719"/>
    <s v="NA"/>
    <s v="NA"/>
  </r>
  <r>
    <x v="1"/>
    <x v="14"/>
    <x v="14"/>
    <x v="2"/>
    <s v="SAN FRANCISCO DE MOSTAZAL"/>
    <s v="NA"/>
    <s v="MOSTAZAL"/>
    <s v="NA"/>
    <s v="NA"/>
    <s v="NA"/>
    <s v="NA"/>
    <s v="NA"/>
    <s v="NA"/>
    <s v="NA"/>
    <s v="NA"/>
    <s v="NA"/>
    <n v="777"/>
    <s v="NA"/>
    <s v="NA"/>
  </r>
  <r>
    <x v="1"/>
    <x v="5"/>
    <x v="5"/>
    <x v="3"/>
    <s v="PLACILLA"/>
    <s v="NA"/>
    <s v="PLACILLA"/>
    <s v="NA"/>
    <s v="NA"/>
    <s v="NA"/>
    <s v="NA"/>
    <s v="NA"/>
    <s v="NA"/>
    <s v="NA"/>
    <s v="NA"/>
    <s v="NA"/>
    <n v="864"/>
    <s v="NA"/>
    <s v="NA"/>
  </r>
  <r>
    <x v="1"/>
    <x v="5"/>
    <x v="5"/>
    <x v="2"/>
    <s v="HIJUELAS"/>
    <s v="NA"/>
    <s v="HIJUELAS"/>
    <s v="NA"/>
    <s v="NA"/>
    <s v="NA"/>
    <s v="NA"/>
    <s v="NA"/>
    <s v="NA"/>
    <s v="NA"/>
    <s v="NA"/>
    <s v="NA"/>
    <n v="719"/>
    <s v="NA"/>
    <s v="NA"/>
  </r>
  <r>
    <x v="1"/>
    <x v="5"/>
    <x v="5"/>
    <x v="2"/>
    <s v="NOGALES"/>
    <s v="NA"/>
    <s v="NOGALES"/>
    <s v="NA"/>
    <s v="NA"/>
    <s v="NA"/>
    <s v="NA"/>
    <s v="NA"/>
    <s v="NA"/>
    <s v="NA"/>
    <s v="NA"/>
    <s v="NA"/>
    <n v="809"/>
    <s v="NA"/>
    <s v="NA"/>
  </r>
  <r>
    <x v="1"/>
    <x v="5"/>
    <x v="5"/>
    <x v="2"/>
    <s v="SAN ANTONIO"/>
    <s v="NA"/>
    <s v="SAN ANTONIO"/>
    <s v="NA"/>
    <s v="NA"/>
    <s v="NA"/>
    <s v="NA"/>
    <s v="NA"/>
    <s v="NA"/>
    <s v="NA"/>
    <s v="NA"/>
    <s v="NA"/>
    <n v="833"/>
    <s v="NA"/>
    <s v="NA"/>
  </r>
  <r>
    <x v="1"/>
    <x v="5"/>
    <x v="5"/>
    <x v="2"/>
    <s v="PLACILLA"/>
    <s v="NA"/>
    <s v="PLACILLA"/>
    <s v="NA"/>
    <s v="NA"/>
    <s v="NA"/>
    <s v="NA"/>
    <s v="NA"/>
    <s v="NA"/>
    <s v="NA"/>
    <s v="NA"/>
    <s v="NA"/>
    <n v="798"/>
    <s v="NA"/>
    <s v="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n v="202606"/>
    <s v="Norte"/>
    <x v="0"/>
    <x v="0"/>
    <x v="0"/>
    <x v="0"/>
    <s v="Z000000113"/>
    <s v="ALTO HOSPICIO"/>
    <s v="10095"/>
    <s v="COMERCIAL MARGARITA HERNÁNDEZ"/>
    <s v="104452"/>
    <s v="BLUEMAX"/>
    <n v="680"/>
    <n v="242"/>
    <n v="0"/>
    <n v="88.5"/>
    <n v="349.5"/>
    <n v="786"/>
    <n v="660.5"/>
    <n v="-19.5"/>
  </r>
  <r>
    <x v="0"/>
    <n v="202606"/>
    <s v="Norte"/>
    <x v="1"/>
    <x v="1"/>
    <x v="0"/>
    <x v="1"/>
    <s v="Z000000101"/>
    <s v="ARICA"/>
    <s v="10104"/>
    <s v="VICTOR HUGO CORTES BRAVO Y CIA"/>
    <s v="104452"/>
    <s v="BLUEMAX"/>
    <n v="701"/>
    <n v="242"/>
    <n v="0"/>
    <n v="368.49"/>
    <n v="90.51"/>
    <n v="870"/>
    <n v="731.09"/>
    <n v="30.09"/>
  </r>
  <r>
    <x v="0"/>
    <n v="202606"/>
    <s v="Norte"/>
    <x v="0"/>
    <x v="0"/>
    <x v="0"/>
    <x v="2"/>
    <s v="Z000000143"/>
    <s v="POZO ALMONTE"/>
    <s v="10096"/>
    <s v="COMERCIAL Y SERVICIOS FRAELI L"/>
    <s v="104452"/>
    <s v="BLUEMAX"/>
    <n v="680"/>
    <n v="242"/>
    <n v="3"/>
    <n v="102.35"/>
    <n v="335.65"/>
    <n v="852"/>
    <n v="715.97"/>
    <n v="35.97"/>
  </r>
  <r>
    <x v="0"/>
    <n v="202606"/>
    <s v="Norte"/>
    <x v="2"/>
    <x v="2"/>
    <x v="0"/>
    <x v="3"/>
    <s v="Z000000167"/>
    <s v="ANTOFAGASTA"/>
    <s v="10006"/>
    <s v="MIRANDA E HIJO CIA. LTDA."/>
    <s v="104452"/>
    <s v="BLUEMAX"/>
    <n v="672"/>
    <n v="242"/>
    <n v="0"/>
    <n v="99.4"/>
    <n v="330.6"/>
    <n v="860"/>
    <n v="722.69"/>
    <n v="50.69"/>
  </r>
  <r>
    <x v="0"/>
    <n v="202606"/>
    <s v="Norte"/>
    <x v="2"/>
    <x v="2"/>
    <x v="0"/>
    <x v="4"/>
    <s v="Z000000153"/>
    <s v="CALAMA"/>
    <s v="10101"/>
    <s v="COMERCIALIZADORA Y DISTRIBUIDO"/>
    <s v="104452"/>
    <s v="BLUEMAX"/>
    <n v="676"/>
    <n v="242"/>
    <n v="0"/>
    <n v="97.83"/>
    <n v="336.17"/>
    <n v="860"/>
    <n v="722.69"/>
    <n v="46.69"/>
  </r>
  <r>
    <x v="0"/>
    <n v="202606"/>
    <s v="Norte"/>
    <x v="2"/>
    <x v="2"/>
    <x v="0"/>
    <x v="5"/>
    <s v="Z000000173"/>
    <s v="LA NEGRA"/>
    <s v="10197"/>
    <s v="COMERCIALIZADORA Y DISTRIBUIDO"/>
    <s v="104452"/>
    <s v="BLUEMAX"/>
    <n v="672"/>
    <n v="242"/>
    <n v="0"/>
    <n v="175.74"/>
    <n v="254.26"/>
    <n v="860"/>
    <n v="722.69"/>
    <n v="50.69"/>
  </r>
  <r>
    <x v="0"/>
    <n v="202606"/>
    <s v="Norte"/>
    <x v="2"/>
    <x v="2"/>
    <x v="0"/>
    <x v="6"/>
    <s v="Z000000179"/>
    <s v="AGUAS VERDES"/>
    <s v="10619"/>
    <s v="RACH GASOIL LIMITADA"/>
    <s v="104452"/>
    <s v="BLUEMAX"/>
    <n v="693"/>
    <n v="242"/>
    <n v="0"/>
    <n v="143.53"/>
    <n v="307.47000000000003"/>
    <n v="950"/>
    <n v="798.32"/>
    <n v="105.32"/>
  </r>
  <r>
    <x v="0"/>
    <n v="202606"/>
    <s v="Norte"/>
    <x v="2"/>
    <x v="2"/>
    <x v="0"/>
    <x v="7"/>
    <s v="Z000001298"/>
    <s v="COPEC SG"/>
    <s v="10025"/>
    <s v="ADMINISTRADORA  VENTAS AL DETA"/>
    <s v="104452"/>
    <s v="BLUEMAX"/>
    <n v="672"/>
    <n v="242"/>
    <n v="0"/>
    <n v="133.81"/>
    <n v="296.19"/>
    <n v="860"/>
    <n v="722.69"/>
    <n v="50.69"/>
  </r>
  <r>
    <x v="0"/>
    <n v="202606"/>
    <s v="Norte"/>
    <x v="2"/>
    <x v="2"/>
    <x v="0"/>
    <x v="8"/>
    <s v="Z000000137"/>
    <s v="TOCOPI LLA"/>
    <s v="10028"/>
    <s v="COMERCIAL Y SERVICIOS SEGUEL-"/>
    <s v="104452"/>
    <s v="BLUEMAX"/>
    <n v="676"/>
    <n v="242"/>
    <n v="0"/>
    <n v="182.67"/>
    <n v="251.33"/>
    <n v="865"/>
    <n v="726.89"/>
    <n v="50.89"/>
  </r>
  <r>
    <x v="0"/>
    <n v="202606"/>
    <s v="Norte"/>
    <x v="2"/>
    <x v="2"/>
    <x v="0"/>
    <x v="7"/>
    <s v="Z000001298"/>
    <s v="COPEC SG"/>
    <s v="10029"/>
    <s v="ADMINISTRADORA  VENTAS AL DETA"/>
    <s v="104452"/>
    <s v="BLUEMAX"/>
    <n v="672"/>
    <n v="242"/>
    <n v="0"/>
    <n v="133.81"/>
    <n v="296.19"/>
    <n v="860"/>
    <n v="722.69"/>
    <n v="50.69"/>
  </r>
  <r>
    <x v="0"/>
    <n v="202606"/>
    <s v="Norte"/>
    <x v="2"/>
    <x v="2"/>
    <x v="0"/>
    <x v="9"/>
    <s v="Z000000161"/>
    <s v="MEJILLONES"/>
    <s v="10027"/>
    <s v="COMERCIALIZADORA CODICOM LIMIT"/>
    <s v="104452"/>
    <s v="BLUEMAX"/>
    <n v="672"/>
    <n v="242"/>
    <n v="0"/>
    <n v="133.24"/>
    <n v="296.76"/>
    <n v="865"/>
    <n v="726.89"/>
    <n v="54.89"/>
  </r>
  <r>
    <x v="0"/>
    <n v="202606"/>
    <s v="Norte"/>
    <x v="3"/>
    <x v="3"/>
    <x v="0"/>
    <x v="10"/>
    <s v="Z000000227"/>
    <s v="VALLENAR"/>
    <s v="40099"/>
    <s v="COMERCIALIZADORA Y DISTRIBUIDO"/>
    <s v="104452"/>
    <s v="BLUEMAX"/>
    <n v="659"/>
    <n v="196"/>
    <n v="0"/>
    <n v="187.47"/>
    <n v="275.52999999999997"/>
    <n v="845"/>
    <n v="710.08"/>
    <n v="51.08"/>
  </r>
  <r>
    <x v="0"/>
    <n v="202606"/>
    <s v="Norte"/>
    <x v="3"/>
    <x v="3"/>
    <x v="0"/>
    <x v="11"/>
    <s v="Z000000215"/>
    <s v="COPIAPO"/>
    <s v="40512"/>
    <s v="ADMINISTRADORA  VENTAS AL DETA"/>
    <s v="104452"/>
    <s v="BLUEMAX"/>
    <n v="693"/>
    <n v="242"/>
    <n v="0"/>
    <n v="58.29"/>
    <n v="392.71"/>
    <n v="885"/>
    <n v="743.7"/>
    <n v="50.7"/>
  </r>
  <r>
    <x v="0"/>
    <n v="202606"/>
    <s v="Norte"/>
    <x v="3"/>
    <x v="3"/>
    <x v="0"/>
    <x v="12"/>
    <s v="Z000000203"/>
    <s v="CHANARAL"/>
    <s v="40192"/>
    <s v="ADMINISTRADORA  VENTAS AL DETA"/>
    <s v="104452"/>
    <s v="BLUEMAX"/>
    <n v="693"/>
    <n v="242"/>
    <n v="0"/>
    <n v="255.25"/>
    <n v="195.75"/>
    <n v="867"/>
    <n v="728.57"/>
    <n v="35.57"/>
  </r>
  <r>
    <x v="0"/>
    <n v="202606"/>
    <s v="Norte"/>
    <x v="3"/>
    <x v="3"/>
    <x v="0"/>
    <x v="10"/>
    <s v="Z000000227"/>
    <s v="VALLENAR"/>
    <s v="40532"/>
    <s v="ADMINISTRADORA VENTAS AL DETAL"/>
    <s v="104452"/>
    <s v="BLUEMAX"/>
    <n v="659"/>
    <n v="196"/>
    <n v="0"/>
    <n v="187.47"/>
    <n v="275.52999999999997"/>
    <n v="779"/>
    <n v="654.62"/>
    <n v="-4.38"/>
  </r>
  <r>
    <x v="0"/>
    <n v="202606"/>
    <s v="Norte"/>
    <x v="4"/>
    <x v="4"/>
    <x v="0"/>
    <x v="13"/>
    <s v="Z000000247"/>
    <s v="LA SERENA"/>
    <s v="40517"/>
    <s v="SOCIEDAD COMERCIALIZADORA Y DI"/>
    <s v="104452"/>
    <s v="BLUEMAX"/>
    <n v="621"/>
    <n v="196"/>
    <n v="0"/>
    <n v="219.38"/>
    <n v="205.62"/>
    <n v="798"/>
    <n v="670.59"/>
    <n v="49.59"/>
  </r>
  <r>
    <x v="0"/>
    <n v="202606"/>
    <s v="Centro"/>
    <x v="5"/>
    <x v="5"/>
    <x v="0"/>
    <x v="14"/>
    <s v="Z000000369"/>
    <s v="PLACILLA"/>
    <s v="40098"/>
    <s v="VALENCIA Y PACHECO LIMITADA"/>
    <s v="104452"/>
    <s v="BLUEMAX"/>
    <n v="605"/>
    <n v="196"/>
    <n v="0"/>
    <n v="84.05"/>
    <n v="324.95"/>
    <n v="779"/>
    <n v="654.62"/>
    <n v="49.62"/>
  </r>
  <r>
    <x v="0"/>
    <n v="202606"/>
    <s v="Norte"/>
    <x v="4"/>
    <x v="4"/>
    <x v="0"/>
    <x v="15"/>
    <s v="Z000000292"/>
    <s v="LOS VILOS"/>
    <s v="40055"/>
    <s v="ADMINISTRADORA  VENTAS AL DETA"/>
    <s v="104452"/>
    <s v="BLUEMAX"/>
    <n v="621"/>
    <n v="196"/>
    <n v="0"/>
    <n v="324.55"/>
    <n v="100.45"/>
    <n v="817"/>
    <n v="686.55"/>
    <n v="65.55"/>
  </r>
  <r>
    <x v="0"/>
    <n v="202606"/>
    <s v="Norte"/>
    <x v="4"/>
    <x v="4"/>
    <x v="0"/>
    <x v="15"/>
    <s v="Z000000292"/>
    <s v="LOS VILOS"/>
    <s v="40163"/>
    <s v="COMERCIAL Y TURISMO AMANCAY LI"/>
    <s v="104452"/>
    <s v="BLUEMAX"/>
    <n v="621"/>
    <n v="196"/>
    <n v="0"/>
    <n v="324.55"/>
    <n v="100.45"/>
    <n v="817"/>
    <n v="686.55"/>
    <n v="65.55"/>
  </r>
  <r>
    <x v="0"/>
    <n v="202606"/>
    <s v="Norte"/>
    <x v="4"/>
    <x v="4"/>
    <x v="0"/>
    <x v="15"/>
    <s v="Z000000292"/>
    <s v="LOS VILOS"/>
    <s v="40390"/>
    <s v="ADMINISTRADORA  VENTAS AL DETA"/>
    <s v="104452"/>
    <s v="BLUEMAX"/>
    <n v="621"/>
    <n v="196"/>
    <n v="0"/>
    <n v="324.55"/>
    <n v="100.45"/>
    <n v="817"/>
    <n v="686.55"/>
    <n v="65.55"/>
  </r>
  <r>
    <x v="0"/>
    <n v="202606"/>
    <s v="Norte"/>
    <x v="4"/>
    <x v="4"/>
    <x v="0"/>
    <x v="16"/>
    <s v="Z000000260"/>
    <s v="COQUIMBO"/>
    <s v="40525"/>
    <s v="SANDRO SCHIAPPACASSE S.A."/>
    <s v="104452"/>
    <s v="BLUEMAX"/>
    <n v="621"/>
    <n v="196"/>
    <n v="0"/>
    <n v="163.32"/>
    <n v="261.68"/>
    <n v="798"/>
    <n v="670.59"/>
    <n v="49.59"/>
  </r>
  <r>
    <x v="0"/>
    <n v="202606"/>
    <s v="Centro"/>
    <x v="5"/>
    <x v="5"/>
    <x v="0"/>
    <x v="17"/>
    <s v="Z000000347"/>
    <s v="LLAY LLAY"/>
    <s v="40560"/>
    <s v="ADMINISTRADORA  VENTAS AL DETA"/>
    <s v="104452"/>
    <s v="BLUEMAX"/>
    <n v="605"/>
    <n v="196"/>
    <n v="0"/>
    <n v="134.94"/>
    <n v="274.06"/>
    <n v="779"/>
    <n v="654.62"/>
    <n v="49.62"/>
  </r>
  <r>
    <x v="0"/>
    <n v="202606"/>
    <s v="Norte"/>
    <x v="4"/>
    <x v="4"/>
    <x v="0"/>
    <x v="13"/>
    <s v="Z000000247"/>
    <s v="LA SERENA"/>
    <s v="40602"/>
    <s v="COMERCIAL Y SERVICIOS GB LIMIT"/>
    <s v="104452"/>
    <s v="BLUEMAX"/>
    <n v="621"/>
    <n v="196"/>
    <n v="0"/>
    <n v="219.38"/>
    <n v="205.62"/>
    <n v="798"/>
    <n v="670.59"/>
    <n v="49.59"/>
  </r>
  <r>
    <x v="0"/>
    <n v="202606"/>
    <s v="Centro"/>
    <x v="5"/>
    <x v="5"/>
    <x v="0"/>
    <x v="18"/>
    <s v="Z000000130"/>
    <s v="TABOLANGO"/>
    <s v="40603"/>
    <s v="COMERCIAL Y SERVICIOS SIGNUM L"/>
    <s v="104452"/>
    <s v="BLUEMAX"/>
    <n v="605"/>
    <n v="196"/>
    <n v="0"/>
    <n v="174.19"/>
    <n v="234.81"/>
    <n v="798"/>
    <n v="670.59"/>
    <n v="65.59"/>
  </r>
  <r>
    <x v="0"/>
    <n v="202606"/>
    <s v="Centro"/>
    <x v="5"/>
    <x v="5"/>
    <x v="0"/>
    <x v="19"/>
    <s v="Z000000458"/>
    <s v="SAN ANTONIO"/>
    <s v="40515"/>
    <s v="COMERCIAL S R K Y COMPANIA LIM"/>
    <s v="104452"/>
    <s v="BLUEMAX"/>
    <n v="605"/>
    <n v="196"/>
    <n v="0"/>
    <n v="161.36000000000001"/>
    <n v="247.64"/>
    <n v="803"/>
    <n v="674.79"/>
    <n v="69.790000000000006"/>
  </r>
  <r>
    <x v="0"/>
    <n v="202606"/>
    <s v="Centro"/>
    <x v="6"/>
    <x v="6"/>
    <x v="0"/>
    <x v="20"/>
    <s v="Z000001240"/>
    <s v="SAN CARLOS CARRETERA"/>
    <s v="20017"/>
    <s v="ADMINISTRADORA  VENTAS AL DETA"/>
    <s v="104452"/>
    <s v="BLUEMAX"/>
    <n v="605"/>
    <n v="196"/>
    <n v="0"/>
    <n v="132.47"/>
    <n v="276.52999999999997"/>
    <n v="780"/>
    <n v="655.46"/>
    <n v="50.46"/>
  </r>
  <r>
    <x v="0"/>
    <n v="202606"/>
    <s v="Centro"/>
    <x v="7"/>
    <x v="7"/>
    <x v="0"/>
    <x v="21"/>
    <s v="Z000001195"/>
    <s v="PARRAL CARRETERA"/>
    <s v="20090"/>
    <s v="COMERCIAL Y SERVICIOS A &amp; M LI"/>
    <s v="104452"/>
    <s v="BLUEMAX"/>
    <n v="605"/>
    <n v="196"/>
    <n v="0"/>
    <n v="84.84"/>
    <n v="324.16000000000003"/>
    <n v="780"/>
    <n v="655.46"/>
    <n v="50.46"/>
  </r>
  <r>
    <x v="0"/>
    <n v="202606"/>
    <s v="Sur"/>
    <x v="8"/>
    <x v="8"/>
    <x v="0"/>
    <x v="22"/>
    <s v="Z000000674"/>
    <s v="CONCEPCION"/>
    <s v="20286"/>
    <s v="FORTEZA BUSTOS DISTRIBUCION DE"/>
    <s v="104452"/>
    <s v="BLUEMAX"/>
    <n v="626"/>
    <n v="196"/>
    <n v="37.67"/>
    <n v="69.849999999999994"/>
    <n v="322.48"/>
    <n v="805"/>
    <n v="676.47"/>
    <n v="50.47"/>
  </r>
  <r>
    <x v="0"/>
    <n v="202606"/>
    <s v="Centro"/>
    <x v="6"/>
    <x v="6"/>
    <x v="0"/>
    <x v="23"/>
    <s v="Z000001194"/>
    <s v="CHILLAN CARRETERA"/>
    <s v="20336"/>
    <s v="COMERCIAL SANTA SOLEDAD LIMITA"/>
    <s v="104452"/>
    <s v="BLUEMAX"/>
    <n v="605"/>
    <n v="196"/>
    <n v="0"/>
    <n v="93.11"/>
    <n v="315.89"/>
    <n v="780"/>
    <n v="655.46"/>
    <n v="50.46"/>
  </r>
  <r>
    <x v="0"/>
    <n v="202606"/>
    <s v="Sur"/>
    <x v="9"/>
    <x v="9"/>
    <x v="0"/>
    <x v="24"/>
    <s v="Z000000862"/>
    <s v="FREIRE"/>
    <s v="20606"/>
    <s v="DISTRIBUIDORA DE COMBUSTIBLES"/>
    <s v="104452"/>
    <s v="BLUEMAX"/>
    <n v="655"/>
    <n v="196"/>
    <n v="37.67"/>
    <n v="108.39"/>
    <n v="312.94"/>
    <n v="816"/>
    <n v="685.71"/>
    <n v="30.71"/>
  </r>
  <r>
    <x v="0"/>
    <n v="202606"/>
    <s v="Sur"/>
    <x v="9"/>
    <x v="9"/>
    <x v="0"/>
    <x v="25"/>
    <s v="Z000000872"/>
    <s v="LONCOCHE"/>
    <s v="20607"/>
    <s v="ADMINISTRADORA  VENTAS AL DETA"/>
    <s v="104452"/>
    <s v="BLUEMAX"/>
    <n v="655"/>
    <n v="196"/>
    <n v="37.67"/>
    <n v="116.28"/>
    <n v="305.05"/>
    <n v="840"/>
    <n v="705.88"/>
    <n v="50.88"/>
  </r>
  <r>
    <x v="0"/>
    <n v="202606"/>
    <s v="Sur"/>
    <x v="8"/>
    <x v="8"/>
    <x v="0"/>
    <x v="26"/>
    <s v="Z000000022"/>
    <s v="LOS ANGELES 2"/>
    <s v="20609"/>
    <s v="ADMINISTRADORA  VENTAS AL DETA"/>
    <s v="104452"/>
    <s v="BLUEMAX"/>
    <n v="626"/>
    <n v="196"/>
    <n v="37.67"/>
    <n v="77.989999999999995"/>
    <n v="314.33999999999997"/>
    <n v="805"/>
    <n v="676.47"/>
    <n v="50.47"/>
  </r>
  <r>
    <x v="0"/>
    <n v="202606"/>
    <s v="Sur"/>
    <x v="9"/>
    <x v="9"/>
    <x v="0"/>
    <x v="27"/>
    <s v="Z000000840"/>
    <s v="LAUTARO"/>
    <s v="20782"/>
    <s v="BOERI, RUIZ Y CIA. LTDA."/>
    <s v="104452"/>
    <s v="BLUEMAX"/>
    <n v="655"/>
    <n v="196"/>
    <n v="37.67"/>
    <n v="100.31"/>
    <n v="321.02"/>
    <n v="798"/>
    <n v="670.59"/>
    <n v="15.59"/>
  </r>
  <r>
    <x v="0"/>
    <n v="202606"/>
    <s v="Sur"/>
    <x v="8"/>
    <x v="8"/>
    <x v="0"/>
    <x v="26"/>
    <s v="Z000000022"/>
    <s v="LOS ANGELES 2"/>
    <s v="20859"/>
    <s v="ADMINISTRADORA  VENTAS AL DETA"/>
    <s v="104452"/>
    <s v="BLUEMAX"/>
    <n v="626"/>
    <n v="196"/>
    <n v="37.67"/>
    <n v="77.989999999999995"/>
    <n v="314.33999999999997"/>
    <n v="805"/>
    <n v="676.47"/>
    <n v="50.47"/>
  </r>
  <r>
    <x v="0"/>
    <n v="202606"/>
    <s v="Sur"/>
    <x v="8"/>
    <x v="8"/>
    <x v="0"/>
    <x v="28"/>
    <s v="Z000000677"/>
    <s v="PENCO"/>
    <s v="20901"/>
    <s v="ALFONSO NEUMANN E HIJOS LTDA."/>
    <s v="104452"/>
    <s v="BLUEMAX"/>
    <n v="626"/>
    <n v="196"/>
    <n v="37.67"/>
    <n v="81.3"/>
    <n v="311.02999999999997"/>
    <n v="815"/>
    <n v="684.87"/>
    <n v="58.87"/>
  </r>
  <r>
    <x v="0"/>
    <n v="202606"/>
    <s v="Sur"/>
    <x v="9"/>
    <x v="9"/>
    <x v="0"/>
    <x v="29"/>
    <s v="Z000001217"/>
    <s v="VICTORIA CARRETERA"/>
    <s v="20092"/>
    <s v="ADMINISTRADORA  VENTAS AL DETA"/>
    <s v="104452"/>
    <s v="BLUEMAX"/>
    <n v="655"/>
    <n v="196"/>
    <n v="37.67"/>
    <n v="115.31"/>
    <n v="306.02"/>
    <n v="839"/>
    <n v="705.04"/>
    <n v="50.04"/>
  </r>
  <r>
    <x v="0"/>
    <n v="202606"/>
    <s v="Centro"/>
    <x v="6"/>
    <x v="6"/>
    <x v="0"/>
    <x v="23"/>
    <s v="Z000001194"/>
    <s v="CHILLAN CARRETERA"/>
    <s v="20952"/>
    <s v="COMERCIAL NAVEA Y SALINAS LTDA"/>
    <s v="104452"/>
    <s v="BLUEMAX"/>
    <n v="605"/>
    <n v="196"/>
    <n v="0"/>
    <n v="93.11"/>
    <n v="315.89"/>
    <n v="780"/>
    <n v="655.46"/>
    <n v="50.46"/>
  </r>
  <r>
    <x v="0"/>
    <n v="202606"/>
    <s v="Sur"/>
    <x v="8"/>
    <x v="8"/>
    <x v="0"/>
    <x v="30"/>
    <s v="Z000000687"/>
    <s v="LOMAS COLORADAS"/>
    <s v="20864"/>
    <s v="COMERCIAL Y SERVICIO GALLARDO"/>
    <s v="104452"/>
    <s v="BLUEMAX"/>
    <n v="626"/>
    <n v="196"/>
    <n v="37.67"/>
    <n v="58.21"/>
    <n v="334.12"/>
    <n v="805"/>
    <n v="676.47"/>
    <n v="50.47"/>
  </r>
  <r>
    <x v="0"/>
    <n v="202606"/>
    <s v="Sur"/>
    <x v="8"/>
    <x v="8"/>
    <x v="0"/>
    <x v="31"/>
    <s v="Z000000692"/>
    <s v="CABRERO"/>
    <s v="20501"/>
    <s v="COMERCIAL QUECHEREGUAS LTDA."/>
    <s v="104452"/>
    <s v="BLUEMAX"/>
    <n v="626"/>
    <n v="196"/>
    <n v="37.67"/>
    <n v="73.7"/>
    <n v="318.63"/>
    <n v="823"/>
    <n v="691.6"/>
    <n v="65.599999999999994"/>
  </r>
  <r>
    <x v="0"/>
    <n v="202606"/>
    <s v="Sur"/>
    <x v="8"/>
    <x v="8"/>
    <x v="0"/>
    <x v="32"/>
    <s v="Z000000702"/>
    <s v="ARAUCO"/>
    <s v="20509"/>
    <s v="INMOBILIARIA Y COMERCIAL FOMAC"/>
    <s v="104452"/>
    <s v="BLUEMAX"/>
    <n v="626"/>
    <n v="196"/>
    <n v="37.67"/>
    <n v="78.52"/>
    <n v="313.81"/>
    <n v="804"/>
    <n v="675.63"/>
    <n v="49.63"/>
  </r>
  <r>
    <x v="0"/>
    <n v="202606"/>
    <s v="Sur"/>
    <x v="9"/>
    <x v="9"/>
    <x v="0"/>
    <x v="33"/>
    <s v="Z000000747"/>
    <s v="RENAICO"/>
    <s v="20589"/>
    <s v="ADMINISTRADORA  VENTAS AL DETA"/>
    <s v="104452"/>
    <s v="BLUEMAX"/>
    <n v="626"/>
    <n v="196"/>
    <n v="37.67"/>
    <n v="75.3"/>
    <n v="317.02999999999997"/>
    <n v="805"/>
    <n v="676.47"/>
    <n v="50.47"/>
  </r>
  <r>
    <x v="0"/>
    <n v="202606"/>
    <s v="Sur"/>
    <x v="10"/>
    <x v="10"/>
    <x v="0"/>
    <x v="34"/>
    <s v="Z000000880"/>
    <s v="SN.J.DE LA MARI"/>
    <s v="20071"/>
    <s v="ADMINISTRADORA  VENTAS AL DETA"/>
    <s v="104452"/>
    <s v="BLUEMAX"/>
    <n v="655"/>
    <n v="196"/>
    <n v="37.67"/>
    <n v="169.62"/>
    <n v="251.71"/>
    <n v="840"/>
    <n v="705.88"/>
    <n v="50.88"/>
  </r>
  <r>
    <x v="0"/>
    <n v="202606"/>
    <s v="Sur"/>
    <x v="11"/>
    <x v="11"/>
    <x v="0"/>
    <x v="35"/>
    <s v="Z000000944"/>
    <s v="PTO VARAS"/>
    <s v="20089"/>
    <s v="COMERCIAL DASEFE LIMITADA"/>
    <s v="104452"/>
    <s v="BLUEMAX"/>
    <n v="680"/>
    <n v="196"/>
    <n v="37.67"/>
    <n v="115.82"/>
    <n v="330.51"/>
    <n v="870"/>
    <n v="731.09"/>
    <n v="51.09"/>
  </r>
  <r>
    <x v="0"/>
    <n v="202606"/>
    <s v="Sur"/>
    <x v="11"/>
    <x v="11"/>
    <x v="0"/>
    <x v="36"/>
    <s v="Z000000923"/>
    <s v="TRAFUN"/>
    <s v="20091"/>
    <s v="DANIEL VILLAR Y CIA.  LTDA."/>
    <s v="104452"/>
    <s v="BLUEMAX"/>
    <n v="680"/>
    <n v="196"/>
    <n v="37.67"/>
    <n v="175"/>
    <n v="271.33"/>
    <n v="870"/>
    <n v="731.09"/>
    <n v="51.09"/>
  </r>
  <r>
    <x v="0"/>
    <n v="202606"/>
    <s v="Sur"/>
    <x v="11"/>
    <x v="11"/>
    <x v="0"/>
    <x v="37"/>
    <s v="Z000000952"/>
    <s v="PTO MONTT"/>
    <s v="20213"/>
    <s v="BERGUECIO Y EBENSPERGER LIMITA"/>
    <s v="104452"/>
    <s v="BLUEMAX"/>
    <n v="680"/>
    <n v="196"/>
    <n v="37.67"/>
    <n v="109.21"/>
    <n v="337.12"/>
    <n v="870"/>
    <n v="731.09"/>
    <n v="51.09"/>
  </r>
  <r>
    <x v="0"/>
    <n v="202606"/>
    <s v="Sur"/>
    <x v="11"/>
    <x v="11"/>
    <x v="0"/>
    <x v="36"/>
    <s v="Z000000923"/>
    <s v="TRAFUN"/>
    <s v="20605"/>
    <s v="SOCIEDAD DE TRANSPORTES STEUER"/>
    <s v="104452"/>
    <s v="BLUEMAX"/>
    <n v="680"/>
    <n v="196"/>
    <n v="37.67"/>
    <n v="175"/>
    <n v="271.33"/>
    <n v="870"/>
    <n v="731.09"/>
    <n v="51.09"/>
  </r>
  <r>
    <x v="0"/>
    <n v="202606"/>
    <s v="Sur"/>
    <x v="11"/>
    <x v="11"/>
    <x v="0"/>
    <x v="38"/>
    <s v="Z000000919"/>
    <s v="OSORNO"/>
    <s v="20523"/>
    <s v="DISTRIBUIDORA COMERCIAL P &amp; G"/>
    <s v="104452"/>
    <s v="BLUEMAX"/>
    <n v="680"/>
    <n v="196"/>
    <n v="37.67"/>
    <n v="142.76"/>
    <n v="303.57"/>
    <n v="846"/>
    <n v="710.92"/>
    <n v="30.92"/>
  </r>
  <r>
    <x v="0"/>
    <n v="202606"/>
    <s v="Sur"/>
    <x v="11"/>
    <x v="11"/>
    <x v="0"/>
    <x v="39"/>
    <s v="Z000000962"/>
    <s v="PARGUA"/>
    <s v="20579"/>
    <s v="ADMINISTRADORA  VENTAS AL DETA"/>
    <s v="104452"/>
    <s v="BLUEMAX"/>
    <n v="680"/>
    <n v="196"/>
    <n v="37.67"/>
    <n v="158.13"/>
    <n v="288.2"/>
    <n v="870"/>
    <n v="731.09"/>
    <n v="51.09"/>
  </r>
  <r>
    <x v="0"/>
    <n v="202606"/>
    <s v="Sur"/>
    <x v="12"/>
    <x v="12"/>
    <x v="0"/>
    <x v="40"/>
    <s v="Z000000991"/>
    <s v="PTA ARENAS"/>
    <s v="20622"/>
    <s v="SOC. COMERCIAL VENEGAS Y COMPA"/>
    <s v="104452"/>
    <s v="BLUEMAX"/>
    <n v="1018"/>
    <n v="196"/>
    <n v="37.67"/>
    <n v="226.83"/>
    <n v="557.5"/>
    <n v="1301"/>
    <n v="1093.28"/>
    <n v="75.28"/>
  </r>
  <r>
    <x v="0"/>
    <n v="202606"/>
    <s v="Centro"/>
    <x v="7"/>
    <x v="7"/>
    <x v="0"/>
    <x v="41"/>
    <s v="Z000000571"/>
    <s v="SAN RAFAEL"/>
    <s v="20012"/>
    <s v="ADMINISTRADORA  VENTAS AL DETA"/>
    <s v="104452"/>
    <s v="BLUEMAX"/>
    <n v="605"/>
    <n v="196"/>
    <n v="37.67"/>
    <n v="108.03"/>
    <n v="263.3"/>
    <n v="780"/>
    <n v="655.46"/>
    <n v="50.46"/>
  </r>
  <r>
    <x v="0"/>
    <n v="202606"/>
    <s v="Centro"/>
    <x v="7"/>
    <x v="7"/>
    <x v="0"/>
    <x v="42"/>
    <s v="Z000000572"/>
    <s v="MAULE"/>
    <s v="20954"/>
    <s v="ADMINISTRADORA  VENTAS AL DETA"/>
    <s v="104452"/>
    <s v="BLUEMAX"/>
    <n v="605"/>
    <n v="196"/>
    <n v="37.67"/>
    <n v="115.55"/>
    <n v="255.78"/>
    <n v="780"/>
    <n v="655.46"/>
    <n v="50.46"/>
  </r>
  <r>
    <x v="0"/>
    <n v="202606"/>
    <s v="Centro"/>
    <x v="13"/>
    <x v="13"/>
    <x v="0"/>
    <x v="43"/>
    <s v="Z000000645"/>
    <s v="RUTA 78"/>
    <s v="60029"/>
    <s v="ADMINISTRADORA  VENTAS AL DETA"/>
    <s v="104452"/>
    <s v="BLUEMAX"/>
    <n v="617"/>
    <n v="196"/>
    <n v="0"/>
    <n v="164.93"/>
    <n v="256.07"/>
    <n v="789"/>
    <n v="663.03"/>
    <n v="46.03"/>
  </r>
  <r>
    <x v="0"/>
    <n v="202606"/>
    <s v="Centro"/>
    <x v="13"/>
    <x v="13"/>
    <x v="0"/>
    <x v="43"/>
    <s v="Z000000645"/>
    <s v="RUTA 78"/>
    <s v="60032"/>
    <s v="ADMINISTRADORA  VENTAS AL DETA"/>
    <s v="104452"/>
    <s v="BLUEMAX"/>
    <n v="617"/>
    <n v="196"/>
    <n v="0"/>
    <n v="164.93"/>
    <n v="256.07"/>
    <n v="789"/>
    <n v="663.03"/>
    <n v="46.03"/>
  </r>
  <r>
    <x v="0"/>
    <n v="202606"/>
    <s v="Centro"/>
    <x v="14"/>
    <x v="14"/>
    <x v="0"/>
    <x v="44"/>
    <s v="Z000000538"/>
    <s v="SAN FERNANDO"/>
    <s v="60076"/>
    <s v="COMERCIAL G.Q. LIMITADA"/>
    <s v="104452"/>
    <s v="BLUEMAX"/>
    <n v="600"/>
    <n v="196"/>
    <n v="0"/>
    <n v="361.23"/>
    <n v="42.77"/>
    <n v="757"/>
    <n v="636.13"/>
    <n v="36.130000000000003"/>
  </r>
  <r>
    <x v="0"/>
    <n v="202606"/>
    <s v="Centro"/>
    <x v="13"/>
    <x v="13"/>
    <x v="0"/>
    <x v="45"/>
    <s v="Z000000025"/>
    <s v="PUDAHUEL"/>
    <s v="60312"/>
    <s v="COMERCIAL Y SERVICIOS A &amp; D LI"/>
    <s v="104452"/>
    <s v="BLUEMAX"/>
    <n v="617"/>
    <n v="196"/>
    <n v="0"/>
    <n v="123.16"/>
    <n v="297.83999999999997"/>
    <n v="794"/>
    <n v="667.23"/>
    <n v="50.23"/>
  </r>
  <r>
    <x v="0"/>
    <n v="202606"/>
    <s v="Centro"/>
    <x v="14"/>
    <x v="14"/>
    <x v="0"/>
    <x v="46"/>
    <s v="Z000000541"/>
    <s v="CHIMBARONGO"/>
    <s v="60336"/>
    <s v="COMERCIAL Y SERVICIOS RIVO LIM"/>
    <s v="104452"/>
    <s v="BLUEMAX"/>
    <n v="600"/>
    <n v="196"/>
    <n v="0"/>
    <n v="158.49"/>
    <n v="245.51"/>
    <n v="780"/>
    <n v="655.46"/>
    <n v="55.46"/>
  </r>
  <r>
    <x v="0"/>
    <n v="202606"/>
    <s v="Centro"/>
    <x v="7"/>
    <x v="7"/>
    <x v="0"/>
    <x v="47"/>
    <s v="Z000001185"/>
    <s v="SAN JAVIER CARRETERA"/>
    <s v="20094"/>
    <s v="SOCIEDAD COMERCIALIZADORA NUEV"/>
    <s v="104452"/>
    <s v="BLUEMAX"/>
    <n v="605"/>
    <n v="196"/>
    <n v="37.67"/>
    <n v="89.8"/>
    <n v="281.52999999999997"/>
    <n v="780"/>
    <n v="655.46"/>
    <n v="50.46"/>
  </r>
  <r>
    <x v="0"/>
    <n v="202606"/>
    <s v="Centro"/>
    <x v="13"/>
    <x v="13"/>
    <x v="0"/>
    <x v="48"/>
    <s v="Z000000027"/>
    <s v="CONCH RENCA"/>
    <s v="60166"/>
    <s v="GRANESE Y URRUTIA LTDA."/>
    <s v="104452"/>
    <s v="BLUEMAX"/>
    <n v="617"/>
    <n v="196"/>
    <n v="0"/>
    <n v="194.92"/>
    <n v="226.08"/>
    <n v="667"/>
    <n v="0"/>
    <n v="-617"/>
  </r>
  <r>
    <x v="0"/>
    <n v="202606"/>
    <s v="Centro"/>
    <x v="14"/>
    <x v="14"/>
    <x v="0"/>
    <x v="49"/>
    <s v="Z000000484"/>
    <s v="SN FCO.MOSTAZAL"/>
    <s v="60470"/>
    <s v="COMERCIAL LA PUNTA LIMITADA"/>
    <s v="104452"/>
    <s v="BLUEMAX"/>
    <n v="617"/>
    <n v="196"/>
    <n v="0"/>
    <n v="240.35"/>
    <n v="180.65"/>
    <n v="777"/>
    <n v="652.94000000000005"/>
    <n v="35.94"/>
  </r>
  <r>
    <x v="0"/>
    <n v="202606"/>
    <s v="Centro"/>
    <x v="13"/>
    <x v="13"/>
    <x v="0"/>
    <x v="50"/>
    <s v="Z000000411"/>
    <s v="LAMPA CARRETERA"/>
    <s v="60721"/>
    <s v="COMERCIAL Y SERVICIOS SAN IGNA"/>
    <s v="104452"/>
    <s v="BLUEMAX"/>
    <n v="617"/>
    <n v="196"/>
    <n v="0"/>
    <n v="143.87"/>
    <n v="277.13"/>
    <n v="794"/>
    <n v="667.23"/>
    <n v="50.23"/>
  </r>
  <r>
    <x v="0"/>
    <n v="202606"/>
    <s v="Centro"/>
    <x v="14"/>
    <x v="14"/>
    <x v="0"/>
    <x v="51"/>
    <s v="Z000000087"/>
    <s v="LOS LIRIOS"/>
    <s v="60781"/>
    <s v="COMERCIAL E INVERSIONES BORQUE"/>
    <s v="104452"/>
    <s v="BLUEMAX"/>
    <n v="617"/>
    <n v="196"/>
    <n v="0"/>
    <n v="312.38"/>
    <n v="108.62"/>
    <n v="795"/>
    <n v="668.07"/>
    <n v="51.07"/>
  </r>
  <r>
    <x v="0"/>
    <n v="202606"/>
    <s v="Centro"/>
    <x v="7"/>
    <x v="7"/>
    <x v="0"/>
    <x v="52"/>
    <s v="Z000000432"/>
    <s v="ROMERAL"/>
    <s v="60782"/>
    <s v="ADMINISTRADORA  VENTAS AL DETA"/>
    <s v="104452"/>
    <s v="BLUEMAX"/>
    <n v="600"/>
    <n v="196"/>
    <n v="0"/>
    <n v="247.86"/>
    <n v="156.13999999999999"/>
    <n v="769"/>
    <n v="646.22"/>
    <n v="46.22"/>
  </r>
  <r>
    <x v="0"/>
    <n v="202606"/>
    <s v="Centro"/>
    <x v="13"/>
    <x v="13"/>
    <x v="0"/>
    <x v="53"/>
    <s v="Z000000035"/>
    <s v="SAN BERNARDO"/>
    <s v="60006"/>
    <s v="COMERCIAL Y SERVICIOS TARAHUIN"/>
    <s v="104452"/>
    <s v="BLUEMAX"/>
    <n v="617"/>
    <n v="196"/>
    <n v="0"/>
    <n v="153.99"/>
    <n v="267.01"/>
    <n v="763"/>
    <n v="641.17999999999995"/>
    <n v="24.18"/>
  </r>
  <r>
    <x v="0"/>
    <n v="202606"/>
    <s v="Centro"/>
    <x v="13"/>
    <x v="13"/>
    <x v="0"/>
    <x v="54"/>
    <s v="Z000000037"/>
    <s v="MAIPU"/>
    <s v="60517"/>
    <s v="SANTA AUGUSTA LTDA."/>
    <s v="104452"/>
    <s v="BLUEMAX"/>
    <n v="617"/>
    <n v="196"/>
    <n v="0"/>
    <n v="148.24"/>
    <n v="272.76"/>
    <n v="795"/>
    <n v="668.07"/>
    <n v="51.07"/>
  </r>
  <r>
    <x v="0"/>
    <n v="202606"/>
    <s v="Centro"/>
    <x v="7"/>
    <x v="7"/>
    <x v="0"/>
    <x v="55"/>
    <s v="Z000000550"/>
    <s v="SAGRADA FLIA."/>
    <s v="60209"/>
    <s v="ADMINISTRADORA  VENTAS AL DETA"/>
    <s v="104452"/>
    <s v="BLUEMAX"/>
    <n v="600"/>
    <n v="196"/>
    <n v="0"/>
    <n v="434.79"/>
    <n v="-30.79"/>
    <n v="774"/>
    <n v="650.41999999999996"/>
    <n v="50.42"/>
  </r>
  <r>
    <x v="0"/>
    <n v="202606"/>
    <s v="Centro"/>
    <x v="13"/>
    <x v="13"/>
    <x v="0"/>
    <x v="53"/>
    <s v="Z000000035"/>
    <s v="SAN BERNARDO"/>
    <s v="60280"/>
    <s v="COMERCIAL PEREA Y COMPANIA LIM"/>
    <s v="104452"/>
    <s v="BLUEMAX"/>
    <n v="617"/>
    <n v="196"/>
    <n v="0"/>
    <n v="153.99"/>
    <n v="267.01"/>
    <n v="795"/>
    <n v="668.07"/>
    <n v="51.07"/>
  </r>
  <r>
    <x v="0"/>
    <n v="202606"/>
    <s v="Centro"/>
    <x v="7"/>
    <x v="7"/>
    <x v="0"/>
    <x v="56"/>
    <s v="Z000000546"/>
    <s v="TENO"/>
    <s v="60295"/>
    <s v="ADMINISTRADORA  VENTAS AL DETA"/>
    <s v="104452"/>
    <s v="BLUEMAX"/>
    <n v="600"/>
    <n v="196"/>
    <n v="0"/>
    <n v="552.48"/>
    <n v="-148.47999999999999"/>
    <n v="762"/>
    <n v="640.34"/>
    <n v="40.340000000000003"/>
  </r>
  <r>
    <x v="0"/>
    <n v="202606"/>
    <s v="Centro"/>
    <x v="7"/>
    <x v="7"/>
    <x v="0"/>
    <x v="57"/>
    <s v="Z000000583"/>
    <s v="CONSTITUCION"/>
    <s v="20380"/>
    <s v="VALLEJO Y COMPANIA LIMITADA"/>
    <s v="104452"/>
    <s v="BLUEMAX"/>
    <n v="605"/>
    <n v="196"/>
    <n v="0"/>
    <n v="149.35"/>
    <n v="259.64999999999998"/>
    <n v="780"/>
    <n v="655.46"/>
    <n v="50.46"/>
  </r>
  <r>
    <x v="0"/>
    <n v="202606"/>
    <s v="Centro"/>
    <x v="7"/>
    <x v="7"/>
    <x v="0"/>
    <x v="58"/>
    <s v="Z000000570"/>
    <s v="PANGUILLEMU"/>
    <s v="20648"/>
    <s v="EDUARDO RAUL ESPINOZA ORELLANA"/>
    <s v="104452"/>
    <s v="BLUEMAX"/>
    <n v="605"/>
    <n v="196"/>
    <n v="0"/>
    <n v="107.76"/>
    <n v="301.24"/>
    <n v="780"/>
    <n v="655.46"/>
    <n v="50.46"/>
  </r>
  <r>
    <x v="0"/>
    <n v="202606"/>
    <s v="Centro"/>
    <x v="5"/>
    <x v="5"/>
    <x v="0"/>
    <x v="59"/>
    <s v="Z000000367"/>
    <s v="HIJUELAS"/>
    <s v="40035"/>
    <s v="LA CUMBRE ESTACIONES DE SERVIC"/>
    <s v="104452"/>
    <s v="BLUEMAX"/>
    <n v="605"/>
    <n v="196"/>
    <n v="0"/>
    <n v="219.46"/>
    <n v="189.54"/>
    <n v="779"/>
    <n v="654.62"/>
    <n v="49.62"/>
  </r>
  <r>
    <x v="0"/>
    <n v="202606"/>
    <s v="Centro"/>
    <x v="14"/>
    <x v="14"/>
    <x v="0"/>
    <x v="49"/>
    <s v="Z000000484"/>
    <s v="SN FCO.MOSTAZAL"/>
    <s v="60471"/>
    <s v="EDUARDO GAMBOA Y ANDERSSON LTD"/>
    <s v="104452"/>
    <s v="BLUEMAX"/>
    <n v="617"/>
    <n v="196"/>
    <n v="37.67"/>
    <n v="240.35"/>
    <n v="142.97999999999999"/>
    <n v="777"/>
    <n v="652.94000000000005"/>
    <n v="35.94"/>
  </r>
  <r>
    <x v="0"/>
    <n v="202606"/>
    <s v="Sur"/>
    <x v="9"/>
    <x v="9"/>
    <x v="1"/>
    <x v="60"/>
    <s v="NA"/>
    <s v="TEMUCO"/>
    <s v="NA"/>
    <s v="NA"/>
    <s v="NA"/>
    <s v="NA"/>
    <s v="NA"/>
    <s v="NA"/>
    <s v="NA"/>
    <s v="NA"/>
    <s v="NA"/>
    <n v="1170"/>
    <s v="NA"/>
    <s v="NA"/>
  </r>
  <r>
    <x v="0"/>
    <n v="202606"/>
    <s v="Sur"/>
    <x v="9"/>
    <x v="9"/>
    <x v="2"/>
    <x v="29"/>
    <s v="NA"/>
    <s v="VICTORIA"/>
    <s v="NA"/>
    <s v="NA"/>
    <s v="NA"/>
    <s v="NA"/>
    <s v="NA"/>
    <s v="NA"/>
    <s v="NA"/>
    <s v="NA"/>
    <s v="NA"/>
    <n v="822"/>
    <s v="NA"/>
    <s v="NA"/>
  </r>
  <r>
    <x v="0"/>
    <n v="202606"/>
    <s v="Norte"/>
    <x v="1"/>
    <x v="1"/>
    <x v="2"/>
    <x v="1"/>
    <s v="NA"/>
    <s v="ARICA"/>
    <s v="NA"/>
    <s v="NA"/>
    <s v="NA"/>
    <s v="NA"/>
    <s v="NA"/>
    <s v="NA"/>
    <s v="NA"/>
    <s v="NA"/>
    <s v="NA"/>
    <n v="900"/>
    <s v="NA"/>
    <s v="NA"/>
  </r>
  <r>
    <x v="0"/>
    <n v="202606"/>
    <s v="Norte"/>
    <x v="3"/>
    <x v="3"/>
    <x v="2"/>
    <x v="11"/>
    <s v="NA"/>
    <s v="COPIAPÓ"/>
    <s v="NA"/>
    <s v="NA"/>
    <s v="NA"/>
    <s v="NA"/>
    <s v="NA"/>
    <s v="NA"/>
    <s v="NA"/>
    <s v="NA"/>
    <s v="NA"/>
    <n v="905"/>
    <s v="NA"/>
    <s v="NA"/>
  </r>
  <r>
    <x v="0"/>
    <n v="202606"/>
    <s v="Sur"/>
    <x v="8"/>
    <x v="8"/>
    <x v="2"/>
    <x v="61"/>
    <s v="NA"/>
    <s v="TALCAHUANO"/>
    <s v="NA"/>
    <s v="NA"/>
    <s v="NA"/>
    <s v="NA"/>
    <s v="NA"/>
    <s v="NA"/>
    <s v="NA"/>
    <s v="NA"/>
    <s v="NA"/>
    <n v="835"/>
    <s v="NA"/>
    <s v="NA"/>
  </r>
  <r>
    <x v="0"/>
    <n v="202606"/>
    <s v="Norte"/>
    <x v="4"/>
    <x v="4"/>
    <x v="2"/>
    <x v="62"/>
    <s v="NA"/>
    <s v="OVALLE"/>
    <s v="NA"/>
    <s v="NA"/>
    <s v="NA"/>
    <s v="NA"/>
    <s v="NA"/>
    <s v="NA"/>
    <s v="NA"/>
    <s v="NA"/>
    <s v="NA"/>
    <n v="837"/>
    <s v="NA"/>
    <s v="NA"/>
  </r>
  <r>
    <x v="0"/>
    <n v="202606"/>
    <s v="Sur"/>
    <x v="11"/>
    <x v="11"/>
    <x v="3"/>
    <x v="37"/>
    <s v="NA"/>
    <s v="PUERTO MONTT"/>
    <s v="NA"/>
    <s v="NA"/>
    <s v="NA"/>
    <s v="NA"/>
    <s v="NA"/>
    <s v="NA"/>
    <s v="NA"/>
    <s v="NA"/>
    <s v="NA"/>
    <n v="952"/>
    <s v="NA"/>
    <s v="NA"/>
  </r>
  <r>
    <x v="0"/>
    <n v="202606"/>
    <s v="Sur"/>
    <x v="11"/>
    <x v="11"/>
    <x v="2"/>
    <x v="35"/>
    <s v="NA"/>
    <s v="PUERTO VARAS"/>
    <s v="NA"/>
    <s v="NA"/>
    <s v="NA"/>
    <s v="NA"/>
    <s v="NA"/>
    <s v="NA"/>
    <s v="NA"/>
    <s v="NA"/>
    <s v="NA"/>
    <n v="900"/>
    <s v="NA"/>
    <s v="NA"/>
  </r>
  <r>
    <x v="0"/>
    <n v="202606"/>
    <s v="Sur"/>
    <x v="10"/>
    <x v="10"/>
    <x v="4"/>
    <x v="63"/>
    <s v="NA"/>
    <s v="PAILLACO"/>
    <s v="NA"/>
    <s v="NA"/>
    <s v="NA"/>
    <s v="NA"/>
    <s v="NA"/>
    <s v="NA"/>
    <s v="NA"/>
    <s v="NA"/>
    <s v="NA"/>
    <n v="855"/>
    <s v="NA"/>
    <s v="NA"/>
  </r>
  <r>
    <x v="0"/>
    <n v="202606"/>
    <s v="Sur"/>
    <x v="10"/>
    <x v="10"/>
    <x v="2"/>
    <x v="34"/>
    <s v="NA"/>
    <s v="MARIQUINA"/>
    <s v="NA"/>
    <s v="NA"/>
    <s v="NA"/>
    <s v="NA"/>
    <s v="NA"/>
    <s v="NA"/>
    <s v="NA"/>
    <s v="NA"/>
    <s v="NA"/>
    <n v="830"/>
    <s v="NA"/>
    <s v="NA"/>
  </r>
  <r>
    <x v="0"/>
    <n v="202606"/>
    <s v="Centro"/>
    <x v="7"/>
    <x v="7"/>
    <x v="2"/>
    <x v="64"/>
    <s v="NA"/>
    <s v="CURICÓ"/>
    <s v="NA"/>
    <s v="NA"/>
    <s v="NA"/>
    <s v="NA"/>
    <s v="NA"/>
    <s v="NA"/>
    <s v="NA"/>
    <s v="NA"/>
    <s v="NA"/>
    <n v="799"/>
    <s v="NA"/>
    <s v="NA"/>
  </r>
  <r>
    <x v="0"/>
    <n v="202606"/>
    <s v="Centro"/>
    <x v="7"/>
    <x v="7"/>
    <x v="2"/>
    <x v="65"/>
    <s v="NA"/>
    <s v="TALCA"/>
    <s v="NA"/>
    <s v="NA"/>
    <s v="NA"/>
    <s v="NA"/>
    <s v="NA"/>
    <s v="NA"/>
    <s v="NA"/>
    <s v="NA"/>
    <s v="NA"/>
    <n v="699"/>
    <s v="NA"/>
    <s v="NA"/>
  </r>
  <r>
    <x v="0"/>
    <n v="202606"/>
    <s v="Centro"/>
    <x v="7"/>
    <x v="7"/>
    <x v="2"/>
    <x v="65"/>
    <s v="NA"/>
    <s v="TALCA"/>
    <s v="NA"/>
    <s v="NA"/>
    <s v="NA"/>
    <s v="NA"/>
    <s v="NA"/>
    <s v="NA"/>
    <s v="NA"/>
    <s v="NA"/>
    <s v="NA"/>
    <n v="810"/>
    <s v="NA"/>
    <s v="NA"/>
  </r>
  <r>
    <x v="0"/>
    <n v="202606"/>
    <s v="Centro"/>
    <x v="13"/>
    <x v="13"/>
    <x v="2"/>
    <x v="66"/>
    <s v="NA"/>
    <s v="PEDRO AGUIRRE CERDA"/>
    <s v="NA"/>
    <s v="NA"/>
    <s v="NA"/>
    <s v="NA"/>
    <s v="NA"/>
    <s v="NA"/>
    <s v="NA"/>
    <s v="NA"/>
    <s v="NA"/>
    <n v="815"/>
    <s v="NA"/>
    <s v="NA"/>
  </r>
  <r>
    <x v="0"/>
    <n v="202606"/>
    <s v="Centro"/>
    <x v="13"/>
    <x v="13"/>
    <x v="2"/>
    <x v="67"/>
    <s v="NA"/>
    <s v="QUILICURA"/>
    <s v="NA"/>
    <s v="NA"/>
    <s v="NA"/>
    <s v="NA"/>
    <s v="NA"/>
    <s v="NA"/>
    <s v="NA"/>
    <s v="NA"/>
    <s v="NA"/>
    <n v="812.5"/>
    <s v="NA"/>
    <s v="NA"/>
  </r>
  <r>
    <x v="0"/>
    <n v="202606"/>
    <s v="Centro"/>
    <x v="13"/>
    <x v="13"/>
    <x v="2"/>
    <x v="53"/>
    <s v="NA"/>
    <s v="SAN BERNARDO"/>
    <s v="NA"/>
    <s v="NA"/>
    <s v="NA"/>
    <s v="NA"/>
    <s v="NA"/>
    <s v="NA"/>
    <s v="NA"/>
    <s v="NA"/>
    <s v="NA"/>
    <n v="793"/>
    <s v="NA"/>
    <s v="NA"/>
  </r>
  <r>
    <x v="0"/>
    <n v="202606"/>
    <s v="Centro"/>
    <x v="6"/>
    <x v="6"/>
    <x v="3"/>
    <x v="20"/>
    <s v="NA"/>
    <s v="SAN CARLOS"/>
    <s v="NA"/>
    <s v="NA"/>
    <s v="NA"/>
    <s v="NA"/>
    <s v="NA"/>
    <s v="NA"/>
    <s v="NA"/>
    <s v="NA"/>
    <s v="NA"/>
    <n v="862"/>
    <s v="NA"/>
    <s v="NA"/>
  </r>
  <r>
    <x v="0"/>
    <n v="202606"/>
    <s v="Centro"/>
    <x v="6"/>
    <x v="6"/>
    <x v="2"/>
    <x v="68"/>
    <s v="NA"/>
    <s v="CHILLÁN VIEJO"/>
    <s v="NA"/>
    <s v="NA"/>
    <s v="NA"/>
    <s v="NA"/>
    <s v="NA"/>
    <s v="NA"/>
    <s v="NA"/>
    <s v="NA"/>
    <s v="NA"/>
    <n v="810"/>
    <s v="NA"/>
    <s v="NA"/>
  </r>
  <r>
    <x v="0"/>
    <n v="202606"/>
    <s v="Centro"/>
    <x v="6"/>
    <x v="6"/>
    <x v="2"/>
    <x v="20"/>
    <s v="NA"/>
    <s v="SAN CARLOS"/>
    <s v="NA"/>
    <s v="NA"/>
    <s v="NA"/>
    <s v="NA"/>
    <s v="NA"/>
    <s v="NA"/>
    <s v="NA"/>
    <s v="NA"/>
    <s v="NA"/>
    <n v="719"/>
    <s v="NA"/>
    <s v="NA"/>
  </r>
  <r>
    <x v="0"/>
    <n v="202606"/>
    <s v="Centro"/>
    <x v="14"/>
    <x v="14"/>
    <x v="2"/>
    <x v="49"/>
    <s v="NA"/>
    <s v="MOSTAZAL"/>
    <s v="NA"/>
    <s v="NA"/>
    <s v="NA"/>
    <s v="NA"/>
    <s v="NA"/>
    <s v="NA"/>
    <s v="NA"/>
    <s v="NA"/>
    <s v="NA"/>
    <n v="777"/>
    <s v="NA"/>
    <s v="NA"/>
  </r>
  <r>
    <x v="0"/>
    <n v="202606"/>
    <s v="Centro"/>
    <x v="5"/>
    <x v="5"/>
    <x v="3"/>
    <x v="14"/>
    <s v="NA"/>
    <s v="PLACILLA"/>
    <s v="NA"/>
    <s v="NA"/>
    <s v="NA"/>
    <s v="NA"/>
    <s v="NA"/>
    <s v="NA"/>
    <s v="NA"/>
    <s v="NA"/>
    <s v="NA"/>
    <n v="864"/>
    <s v="NA"/>
    <s v="NA"/>
  </r>
  <r>
    <x v="0"/>
    <n v="202606"/>
    <s v="Centro"/>
    <x v="5"/>
    <x v="5"/>
    <x v="2"/>
    <x v="59"/>
    <s v="NA"/>
    <s v="HIJUELAS"/>
    <s v="NA"/>
    <s v="NA"/>
    <s v="NA"/>
    <s v="NA"/>
    <s v="NA"/>
    <s v="NA"/>
    <s v="NA"/>
    <s v="NA"/>
    <s v="NA"/>
    <n v="719"/>
    <s v="NA"/>
    <s v="NA"/>
  </r>
  <r>
    <x v="0"/>
    <n v="202606"/>
    <s v="Centro"/>
    <x v="5"/>
    <x v="5"/>
    <x v="2"/>
    <x v="69"/>
    <s v="NA"/>
    <s v="NOGALES"/>
    <s v="NA"/>
    <s v="NA"/>
    <s v="NA"/>
    <s v="NA"/>
    <s v="NA"/>
    <s v="NA"/>
    <s v="NA"/>
    <s v="NA"/>
    <s v="NA"/>
    <n v="809"/>
    <s v="NA"/>
    <s v="NA"/>
  </r>
  <r>
    <x v="0"/>
    <n v="202606"/>
    <s v="Centro"/>
    <x v="5"/>
    <x v="5"/>
    <x v="2"/>
    <x v="19"/>
    <s v="NA"/>
    <s v="SAN ANTONIO"/>
    <s v="NA"/>
    <s v="NA"/>
    <s v="NA"/>
    <s v="NA"/>
    <s v="NA"/>
    <s v="NA"/>
    <s v="NA"/>
    <s v="NA"/>
    <s v="NA"/>
    <n v="833"/>
    <s v="NA"/>
    <s v="NA"/>
  </r>
  <r>
    <x v="0"/>
    <n v="202606"/>
    <s v="Centro"/>
    <x v="5"/>
    <x v="5"/>
    <x v="2"/>
    <x v="14"/>
    <s v="NA"/>
    <s v="PLACILLA"/>
    <s v="NA"/>
    <s v="NA"/>
    <s v="NA"/>
    <s v="NA"/>
    <s v="NA"/>
    <s v="NA"/>
    <s v="NA"/>
    <s v="NA"/>
    <s v="NA"/>
    <n v="798"/>
    <s v="NA"/>
    <s v="NA"/>
  </r>
  <r>
    <x v="1"/>
    <n v="202606"/>
    <s v="Norte"/>
    <x v="3"/>
    <x v="3"/>
    <x v="2"/>
    <x v="12"/>
    <s v="NA"/>
    <s v="Chañaral"/>
    <s v="NA"/>
    <s v="NA"/>
    <s v="NA"/>
    <s v="NA"/>
    <s v="NA"/>
    <s v="NA"/>
    <s v="NA"/>
    <s v="NA"/>
    <s v="NA"/>
    <n v="0"/>
    <s v="NA"/>
    <s v="NA"/>
  </r>
  <r>
    <x v="1"/>
    <n v="202606"/>
    <s v="Norte"/>
    <x v="2"/>
    <x v="2"/>
    <x v="2"/>
    <x v="3"/>
    <s v="NA"/>
    <s v="Antofagasta"/>
    <s v="NA"/>
    <s v="NA"/>
    <s v="NA"/>
    <s v="NA"/>
    <s v="NA"/>
    <s v="NA"/>
    <s v="NA"/>
    <s v="NA"/>
    <s v="NA"/>
    <n v="0"/>
    <s v="NA"/>
    <s v="NA"/>
  </r>
  <r>
    <x v="1"/>
    <n v="202606"/>
    <s v="Norte"/>
    <x v="4"/>
    <x v="4"/>
    <x v="2"/>
    <x v="70"/>
    <s v="NA"/>
    <s v="Canela"/>
    <s v="NA"/>
    <s v="NA"/>
    <s v="NA"/>
    <s v="NA"/>
    <s v="NA"/>
    <s v="NA"/>
    <s v="NA"/>
    <s v="NA"/>
    <s v="NA"/>
    <n v="0"/>
    <s v="NA"/>
    <s v="NA"/>
  </r>
  <r>
    <x v="1"/>
    <n v="202606"/>
    <s v="Centro"/>
    <x v="13"/>
    <x v="13"/>
    <x v="2"/>
    <x v="71"/>
    <s v="NA"/>
    <s v="Colina"/>
    <s v="NA"/>
    <s v="NA"/>
    <s v="NA"/>
    <s v="NA"/>
    <s v="NA"/>
    <s v="NA"/>
    <s v="NA"/>
    <s v="NA"/>
    <s v="NA"/>
    <n v="0"/>
    <s v="NA"/>
    <s v="NA"/>
  </r>
  <r>
    <x v="1"/>
    <n v="202606"/>
    <s v="Sur"/>
    <x v="10"/>
    <x v="10"/>
    <x v="2"/>
    <x v="63"/>
    <s v="NA"/>
    <s v="Paillaco"/>
    <s v="NA"/>
    <s v="NA"/>
    <s v="NA"/>
    <s v="NA"/>
    <s v="NA"/>
    <s v="NA"/>
    <s v="NA"/>
    <s v="NA"/>
    <s v="NA"/>
    <n v="0"/>
    <s v="NA"/>
    <s v="NA"/>
  </r>
  <r>
    <x v="1"/>
    <n v="202606"/>
    <s v="Norte"/>
    <x v="0"/>
    <x v="0"/>
    <x v="2"/>
    <x v="0"/>
    <s v="NA"/>
    <s v="Alto Hospicio"/>
    <s v="NA"/>
    <s v="NA"/>
    <s v="NA"/>
    <s v="NA"/>
    <s v="NA"/>
    <s v="NA"/>
    <s v="NA"/>
    <s v="NA"/>
    <s v="NA"/>
    <n v="0"/>
    <s v="NA"/>
    <s v="NA"/>
  </r>
  <r>
    <x v="1"/>
    <n v="202606"/>
    <s v="Sur"/>
    <x v="9"/>
    <x v="9"/>
    <x v="2"/>
    <x v="72"/>
    <s v="NA"/>
    <s v="Perquenco"/>
    <s v="NA"/>
    <s v="NA"/>
    <s v="NA"/>
    <s v="NA"/>
    <s v="NA"/>
    <s v="NA"/>
    <s v="NA"/>
    <s v="NA"/>
    <s v="NA"/>
    <n v="0"/>
    <s v="NA"/>
    <s v="NA"/>
  </r>
  <r>
    <x v="1"/>
    <n v="202606"/>
    <s v="Norte"/>
    <x v="2"/>
    <x v="2"/>
    <x v="3"/>
    <x v="3"/>
    <s v="NA"/>
    <s v="Antofagasta"/>
    <s v="NA"/>
    <s v="NA"/>
    <s v="NA"/>
    <s v="NA"/>
    <s v="NA"/>
    <s v="NA"/>
    <s v="NA"/>
    <s v="NA"/>
    <s v="NA"/>
    <n v="0"/>
    <s v="NA"/>
    <s v="NA"/>
  </r>
  <r>
    <x v="0"/>
    <n v="202606"/>
    <s v="Centro"/>
    <x v="7"/>
    <x v="7"/>
    <x v="2"/>
    <x v="56"/>
    <s v="NA"/>
    <s v="Teno"/>
    <s v="NA"/>
    <s v="NA"/>
    <s v="NA"/>
    <s v="NA"/>
    <s v="NA"/>
    <s v="NA"/>
    <s v="NA"/>
    <s v="NA"/>
    <s v="NA"/>
    <n v="714"/>
    <s v="NA"/>
    <s v="NA"/>
  </r>
  <r>
    <x v="0"/>
    <n v="202606"/>
    <s v="Centro"/>
    <x v="7"/>
    <x v="7"/>
    <x v="2"/>
    <x v="21"/>
    <s v="NA"/>
    <s v="Parral"/>
    <s v="NA"/>
    <s v="NA"/>
    <s v="NA"/>
    <s v="NA"/>
    <s v="NA"/>
    <s v="NA"/>
    <s v="NA"/>
    <s v="NA"/>
    <s v="NA"/>
    <n v="810"/>
    <s v="NA"/>
    <s v="NA"/>
  </r>
  <r>
    <x v="0"/>
    <n v="202606"/>
    <s v="Norte"/>
    <x v="4"/>
    <x v="4"/>
    <x v="2"/>
    <x v="16"/>
    <s v="NA"/>
    <s v="COQUIMBO"/>
    <s v="NA"/>
    <s v="NA"/>
    <s v="NA"/>
    <s v="NA"/>
    <s v="NA"/>
    <s v="NA"/>
    <s v="NA"/>
    <s v="NA"/>
    <s v="NA"/>
    <n v="810"/>
    <s v="NA"/>
    <s v="NA"/>
  </r>
  <r>
    <x v="1"/>
    <n v="202606"/>
    <s v="Norte"/>
    <x v="2"/>
    <x v="2"/>
    <x v="3"/>
    <x v="3"/>
    <s v="NA"/>
    <s v="Antofagasta"/>
    <s v="NA"/>
    <s v="NA"/>
    <s v="NA"/>
    <s v="NA"/>
    <s v="NA"/>
    <s v="NA"/>
    <s v="NA"/>
    <s v="NA"/>
    <s v="NA"/>
    <n v="0"/>
    <s v="NA"/>
    <s v="NA"/>
  </r>
  <r>
    <x v="0"/>
    <n v="202606"/>
    <s v="Norte"/>
    <x v="2"/>
    <x v="2"/>
    <x v="2"/>
    <x v="3"/>
    <s v="NA"/>
    <s v="Antofagasta"/>
    <s v="NA"/>
    <s v="NA"/>
    <s v="NA"/>
    <s v="NA"/>
    <s v="NA"/>
    <s v="NA"/>
    <s v="NA"/>
    <s v="NA"/>
    <s v="NA"/>
    <n v="890"/>
    <s v="NA"/>
    <s v="NA"/>
  </r>
  <r>
    <x v="0"/>
    <n v="202606"/>
    <s v="Norte"/>
    <x v="3"/>
    <x v="3"/>
    <x v="2"/>
    <x v="12"/>
    <s v="NA"/>
    <s v="Chañaral"/>
    <s v="NA"/>
    <s v="NA"/>
    <s v="NA"/>
    <s v="NA"/>
    <s v="NA"/>
    <s v="NA"/>
    <s v="NA"/>
    <s v="NA"/>
    <s v="NA"/>
    <n v="897"/>
    <s v="NA"/>
    <s v="NA"/>
  </r>
  <r>
    <x v="0"/>
    <n v="202606"/>
    <s v="Centro"/>
    <x v="7"/>
    <x v="7"/>
    <x v="2"/>
    <x v="21"/>
    <s v="NA"/>
    <s v="Parral"/>
    <s v="NA"/>
    <s v="NA"/>
    <s v="NA"/>
    <s v="NA"/>
    <s v="NA"/>
    <s v="NA"/>
    <s v="NA"/>
    <s v="NA"/>
    <s v="NA"/>
    <n v="810"/>
    <s v="NA"/>
    <s v="NA"/>
  </r>
  <r>
    <x v="0"/>
    <n v="202606"/>
    <s v="Sur"/>
    <x v="9"/>
    <x v="9"/>
    <x v="2"/>
    <x v="72"/>
    <s v="NA"/>
    <s v="Perquenco"/>
    <s v="NA"/>
    <s v="NA"/>
    <s v="NA"/>
    <s v="NA"/>
    <s v="NA"/>
    <s v="NA"/>
    <s v="NA"/>
    <s v="NA"/>
    <s v="NA"/>
    <n v="828"/>
    <s v="NA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49B51-918C-457D-B33C-3745ACEC6F18}" name="TablaDinámica5" cacheId="128" applyNumberFormats="0" applyBorderFormats="0" applyFontFormats="0" applyPatternFormats="0" applyAlignmentFormats="0" applyWidthHeightFormats="1" dataCaption="Valores" updatedVersion="6" minRefreshableVersion="3" colGrandTotals="0" itemPrintTitles="1" createdVersion="6" indent="0" compact="0" compactData="0" multipleFieldFilters="0">
  <location ref="A45:H135" firstHeaderRow="1" firstDataRow="2" firstDataCol="3"/>
  <pivotFields count="21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2"/>
        <item x="9"/>
        <item x="1"/>
        <item x="3"/>
        <item x="8"/>
        <item x="4"/>
        <item x="11"/>
        <item x="10"/>
        <item x="12"/>
        <item x="7"/>
        <item x="13"/>
        <item x="6"/>
        <item x="1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>
      <items count="16">
        <item x="0"/>
        <item x="2"/>
        <item x="3"/>
        <item x="4"/>
        <item x="5"/>
        <item x="14"/>
        <item x="7"/>
        <item x="8"/>
        <item x="9"/>
        <item x="11"/>
        <item x="12"/>
        <item x="13"/>
        <item x="10"/>
        <item x="1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2"/>
        <item x="3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3">
        <item x="6"/>
        <item x="0"/>
        <item x="3"/>
        <item x="32"/>
        <item x="1"/>
        <item x="31"/>
        <item x="4"/>
        <item x="12"/>
        <item x="23"/>
        <item x="68"/>
        <item x="46"/>
        <item x="22"/>
        <item x="48"/>
        <item x="57"/>
        <item x="7"/>
        <item x="11"/>
        <item x="16"/>
        <item x="64"/>
        <item x="24"/>
        <item x="59"/>
        <item x="5"/>
        <item x="13"/>
        <item x="50"/>
        <item x="27"/>
        <item x="17"/>
        <item x="30"/>
        <item x="25"/>
        <item x="26"/>
        <item x="51"/>
        <item x="15"/>
        <item x="54"/>
        <item x="42"/>
        <item x="9"/>
        <item x="69"/>
        <item x="38"/>
        <item x="62"/>
        <item x="63"/>
        <item x="58"/>
        <item x="39"/>
        <item x="21"/>
        <item x="66"/>
        <item x="28"/>
        <item x="14"/>
        <item x="2"/>
        <item x="45"/>
        <item x="37"/>
        <item x="35"/>
        <item x="40"/>
        <item x="67"/>
        <item x="33"/>
        <item x="52"/>
        <item x="43"/>
        <item x="55"/>
        <item x="19"/>
        <item x="53"/>
        <item x="20"/>
        <item x="44"/>
        <item x="49"/>
        <item x="47"/>
        <item x="34"/>
        <item x="41"/>
        <item x="18"/>
        <item x="65"/>
        <item x="61"/>
        <item x="60"/>
        <item x="56"/>
        <item x="8"/>
        <item x="36"/>
        <item x="10"/>
        <item x="29"/>
        <item x="70"/>
        <item x="71"/>
        <item x="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6"/>
  </rowFields>
  <rowItems count="89">
    <i>
      <x/>
      <x v="13"/>
      <x v="1"/>
    </i>
    <i r="2">
      <x v="43"/>
    </i>
    <i t="default">
      <x/>
    </i>
    <i>
      <x v="1"/>
      <x/>
      <x/>
    </i>
    <i r="2">
      <x v="2"/>
    </i>
    <i r="2">
      <x v="6"/>
    </i>
    <i r="2">
      <x v="14"/>
    </i>
    <i r="2">
      <x v="20"/>
    </i>
    <i r="2">
      <x v="32"/>
    </i>
    <i r="2">
      <x v="66"/>
    </i>
    <i t="default">
      <x v="1"/>
    </i>
    <i>
      <x v="2"/>
      <x v="3"/>
      <x v="7"/>
    </i>
    <i r="2">
      <x v="15"/>
    </i>
    <i r="2">
      <x v="68"/>
    </i>
    <i t="default">
      <x v="2"/>
    </i>
    <i>
      <x v="3"/>
      <x v="5"/>
      <x v="16"/>
    </i>
    <i r="2">
      <x v="21"/>
    </i>
    <i r="2">
      <x v="29"/>
    </i>
    <i r="2">
      <x v="35"/>
    </i>
    <i r="2">
      <x v="70"/>
    </i>
    <i t="default">
      <x v="3"/>
    </i>
    <i>
      <x v="4"/>
      <x v="14"/>
      <x v="19"/>
    </i>
    <i r="2">
      <x v="24"/>
    </i>
    <i r="2">
      <x v="33"/>
    </i>
    <i r="2">
      <x v="42"/>
    </i>
    <i r="2">
      <x v="53"/>
    </i>
    <i r="2">
      <x v="61"/>
    </i>
    <i t="default">
      <x v="4"/>
    </i>
    <i>
      <x v="5"/>
      <x v="12"/>
      <x v="10"/>
    </i>
    <i r="2">
      <x v="28"/>
    </i>
    <i r="2">
      <x v="56"/>
    </i>
    <i r="2">
      <x v="57"/>
    </i>
    <i t="default">
      <x v="5"/>
    </i>
    <i>
      <x v="6"/>
      <x v="9"/>
      <x v="13"/>
    </i>
    <i r="2">
      <x v="17"/>
    </i>
    <i r="2">
      <x v="31"/>
    </i>
    <i r="2">
      <x v="37"/>
    </i>
    <i r="2">
      <x v="39"/>
    </i>
    <i r="2">
      <x v="50"/>
    </i>
    <i r="2">
      <x v="52"/>
    </i>
    <i r="2">
      <x v="58"/>
    </i>
    <i r="2">
      <x v="60"/>
    </i>
    <i r="2">
      <x v="62"/>
    </i>
    <i r="2">
      <x v="65"/>
    </i>
    <i t="default">
      <x v="6"/>
    </i>
    <i>
      <x v="7"/>
      <x v="4"/>
      <x v="3"/>
    </i>
    <i r="2">
      <x v="5"/>
    </i>
    <i r="2">
      <x v="11"/>
    </i>
    <i r="2">
      <x v="25"/>
    </i>
    <i r="2">
      <x v="27"/>
    </i>
    <i r="2">
      <x v="41"/>
    </i>
    <i r="2">
      <x v="63"/>
    </i>
    <i t="default">
      <x v="7"/>
    </i>
    <i>
      <x v="8"/>
      <x v="1"/>
      <x v="18"/>
    </i>
    <i r="2">
      <x v="23"/>
    </i>
    <i r="2">
      <x v="26"/>
    </i>
    <i r="2">
      <x v="49"/>
    </i>
    <i r="2">
      <x v="64"/>
    </i>
    <i r="2">
      <x v="69"/>
    </i>
    <i r="2">
      <x v="72"/>
    </i>
    <i t="default">
      <x v="8"/>
    </i>
    <i>
      <x v="9"/>
      <x v="6"/>
      <x v="34"/>
    </i>
    <i r="2">
      <x v="38"/>
    </i>
    <i r="2">
      <x v="45"/>
    </i>
    <i r="2">
      <x v="46"/>
    </i>
    <i r="2">
      <x v="67"/>
    </i>
    <i t="default">
      <x v="9"/>
    </i>
    <i>
      <x v="10"/>
      <x v="8"/>
      <x v="47"/>
    </i>
    <i t="default">
      <x v="10"/>
    </i>
    <i>
      <x v="11"/>
      <x v="10"/>
      <x v="12"/>
    </i>
    <i r="2">
      <x v="22"/>
    </i>
    <i r="2">
      <x v="30"/>
    </i>
    <i r="2">
      <x v="40"/>
    </i>
    <i r="2">
      <x v="44"/>
    </i>
    <i r="2">
      <x v="48"/>
    </i>
    <i r="2">
      <x v="51"/>
    </i>
    <i r="2">
      <x v="54"/>
    </i>
    <i r="2">
      <x v="71"/>
    </i>
    <i t="default">
      <x v="11"/>
    </i>
    <i>
      <x v="12"/>
      <x v="7"/>
      <x v="36"/>
    </i>
    <i r="2">
      <x v="59"/>
    </i>
    <i t="default">
      <x v="12"/>
    </i>
    <i>
      <x v="13"/>
      <x v="2"/>
      <x v="4"/>
    </i>
    <i t="default">
      <x v="13"/>
    </i>
    <i>
      <x v="14"/>
      <x v="11"/>
      <x v="8"/>
    </i>
    <i r="2">
      <x v="9"/>
    </i>
    <i r="2">
      <x v="55"/>
    </i>
    <i t="default">
      <x v="1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>
      <x v="4"/>
    </i>
  </colItems>
  <dataFields count="1">
    <dataField name="Promedio de Precio Tótem (C/IVA) ($/L)" fld="18" subtotal="average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5BB93-3292-4D4B-94AA-8DD3EB53AFAD}" name="TablaDinámica1" cacheId="127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compact="0" compactData="0" multipleFieldFilters="0">
  <location ref="A141:G160" firstHeaderRow="1" firstDataRow="2" firstDataCol="2"/>
  <pivotFields count="19">
    <pivotField axis="axisRow" compact="0" outline="0" subtotalTop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5">
        <item x="2"/>
        <item x="9"/>
        <item x="1"/>
        <item x="3"/>
        <item x="8"/>
        <item x="4"/>
        <item x="11"/>
        <item x="10"/>
        <item x="12"/>
        <item x="7"/>
        <item x="13"/>
        <item x="6"/>
        <item x="1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5">
        <item x="0"/>
        <item x="2"/>
        <item x="3"/>
        <item x="4"/>
        <item x="5"/>
        <item x="14"/>
        <item x="7"/>
        <item x="8"/>
        <item x="9"/>
        <item x="11"/>
        <item h="1" x="12"/>
        <item x="13"/>
        <item x="10"/>
        <item x="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2"/>
        <item x="3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18">
    <i>
      <x/>
      <x/>
    </i>
    <i r="1">
      <x v="1"/>
    </i>
    <i r="1">
      <x v="2"/>
    </i>
    <i r="1">
      <x v="3"/>
    </i>
    <i r="1">
      <x v="13"/>
    </i>
    <i t="default">
      <x/>
    </i>
    <i>
      <x v="1"/>
      <x v="4"/>
    </i>
    <i r="1">
      <x v="5"/>
    </i>
    <i r="1">
      <x v="6"/>
    </i>
    <i r="1">
      <x v="11"/>
    </i>
    <i r="1">
      <x v="14"/>
    </i>
    <i t="default">
      <x v="1"/>
    </i>
    <i>
      <x v="2"/>
      <x v="7"/>
    </i>
    <i r="1">
      <x v="8"/>
    </i>
    <i r="1">
      <x v="9"/>
    </i>
    <i r="1">
      <x v="12"/>
    </i>
    <i t="default"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Promedio de Precio Tótem (C/IVA) ($/L)" fld="16" subtotal="average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A2F10-8AF0-44F2-8761-62B039B0CA6F}" name="TablaDinámica3" cacheId="128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compact="0" compactData="0" multipleFieldFilters="0">
  <location ref="A4:G21" firstHeaderRow="1" firstDataRow="2" firstDataCol="2" rowPageCount="1" colPageCount="1"/>
  <pivotFields count="21">
    <pivotField axis="axisPage" compact="0" outline="0" subtotalTop="0" multipleItemSelectionAllowed="1" showAll="0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2"/>
        <item x="9"/>
        <item x="1"/>
        <item x="3"/>
        <item x="8"/>
        <item x="4"/>
        <item x="11"/>
        <item x="10"/>
        <item x="12"/>
        <item x="7"/>
        <item x="13"/>
        <item x="6"/>
        <item x="1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5">
        <item x="0"/>
        <item x="2"/>
        <item x="3"/>
        <item x="4"/>
        <item x="5"/>
        <item x="14"/>
        <item x="7"/>
        <item x="8"/>
        <item x="9"/>
        <item x="11"/>
        <item x="12"/>
        <item x="13"/>
        <item x="10"/>
        <item x="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2"/>
        <item x="3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16">
    <i>
      <x/>
      <x v="13"/>
    </i>
    <i>
      <x v="1"/>
      <x/>
    </i>
    <i>
      <x v="2"/>
      <x v="3"/>
    </i>
    <i>
      <x v="3"/>
      <x v="5"/>
    </i>
    <i>
      <x v="4"/>
      <x v="14"/>
    </i>
    <i>
      <x v="5"/>
      <x v="12"/>
    </i>
    <i>
      <x v="6"/>
      <x v="9"/>
    </i>
    <i>
      <x v="7"/>
      <x v="4"/>
    </i>
    <i>
      <x v="8"/>
      <x v="1"/>
    </i>
    <i>
      <x v="9"/>
      <x v="6"/>
    </i>
    <i>
      <x v="10"/>
      <x v="8"/>
    </i>
    <i>
      <x v="11"/>
      <x v="10"/>
    </i>
    <i>
      <x v="12"/>
      <x v="7"/>
    </i>
    <i>
      <x v="13"/>
      <x v="2"/>
    </i>
    <i>
      <x v="14"/>
      <x v="1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>
      <x v="4"/>
    </i>
  </colItems>
  <pageFields count="1">
    <pageField fld="0" hier="-1"/>
  </pageFields>
  <dataFields count="1">
    <dataField name="Promedio de Precio Tótem (C/IVA) ($/L)" fld="18" subtotal="average" baseField="0" baseItem="0" numFmtId="164"/>
  </dataFields>
  <formats count="3">
    <format dxfId="5">
      <pivotArea outline="0" collapsedLevelsAreSubtotals="1" fieldPosition="0"/>
    </format>
    <format dxfId="4">
      <pivotArea field="5" grandRow="1" outline="0" axis="axisCol" fieldPosition="0">
        <references count="1">
          <reference field="5" count="3" selected="0">
            <x v="1"/>
            <x v="2"/>
            <x v="3"/>
          </reference>
        </references>
      </pivotArea>
    </format>
    <format dxfId="3">
      <pivotArea field="5" grandRow="1" outline="0" axis="axisCol" fieldPosition="0">
        <references count="1">
          <reference field="5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FB07-5C4B-4483-AA7E-399B829ABAB3}">
  <sheetPr>
    <tabColor theme="9"/>
  </sheetPr>
  <dimension ref="A1:M161"/>
  <sheetViews>
    <sheetView zoomScale="70" zoomScaleNormal="70" workbookViewId="0">
      <selection activeCell="D23" sqref="D23"/>
    </sheetView>
  </sheetViews>
  <sheetFormatPr baseColWidth="10" defaultRowHeight="15.5" x14ac:dyDescent="0.35"/>
  <cols>
    <col min="1" max="1" width="38.1640625" customWidth="1"/>
    <col min="2" max="2" width="15.83203125" bestFit="1" customWidth="1"/>
    <col min="3" max="3" width="8.4140625" bestFit="1" customWidth="1"/>
    <col min="4" max="4" width="9.33203125" bestFit="1" customWidth="1"/>
    <col min="5" max="5" width="7.33203125" bestFit="1" customWidth="1"/>
    <col min="6" max="6" width="7.4140625" bestFit="1" customWidth="1"/>
    <col min="7" max="7" width="11.83203125" bestFit="1" customWidth="1"/>
    <col min="8" max="8" width="14.25" bestFit="1" customWidth="1"/>
    <col min="9" max="9" width="15.75" customWidth="1"/>
    <col min="10" max="10" width="16.33203125" bestFit="1" customWidth="1"/>
    <col min="15" max="15" width="26.58203125" bestFit="1" customWidth="1"/>
    <col min="16" max="16" width="8.33203125" bestFit="1" customWidth="1"/>
    <col min="17" max="17" width="5" bestFit="1" customWidth="1"/>
    <col min="18" max="18" width="7.5" bestFit="1" customWidth="1"/>
    <col min="19" max="19" width="7.58203125" bestFit="1" customWidth="1"/>
    <col min="20" max="20" width="12.33203125" bestFit="1" customWidth="1"/>
    <col min="21" max="21" width="10.75" bestFit="1" customWidth="1"/>
  </cols>
  <sheetData>
    <row r="1" spans="1:10" ht="19" thickBot="1" x14ac:dyDescent="0.5">
      <c r="A1" s="5" t="s">
        <v>328</v>
      </c>
      <c r="C1" s="6" t="s">
        <v>329</v>
      </c>
    </row>
    <row r="2" spans="1:10" x14ac:dyDescent="0.35">
      <c r="A2" s="18" t="s">
        <v>355</v>
      </c>
      <c r="B2" t="s">
        <v>356</v>
      </c>
    </row>
    <row r="3" spans="1:10" ht="18.5" x14ac:dyDescent="0.45">
      <c r="A3" s="7"/>
    </row>
    <row r="4" spans="1:10" x14ac:dyDescent="0.35">
      <c r="A4" s="18" t="s">
        <v>330</v>
      </c>
      <c r="C4" s="18" t="s">
        <v>4</v>
      </c>
    </row>
    <row r="5" spans="1:10" x14ac:dyDescent="0.35">
      <c r="A5" s="18" t="s">
        <v>3</v>
      </c>
      <c r="B5" s="18" t="s">
        <v>2</v>
      </c>
      <c r="C5" t="s">
        <v>20</v>
      </c>
      <c r="D5" t="s">
        <v>306</v>
      </c>
      <c r="E5" t="s">
        <v>309</v>
      </c>
      <c r="F5" t="s">
        <v>310</v>
      </c>
      <c r="G5" t="s">
        <v>303</v>
      </c>
      <c r="H5" t="s">
        <v>331</v>
      </c>
      <c r="I5" t="s">
        <v>332</v>
      </c>
    </row>
    <row r="6" spans="1:10" x14ac:dyDescent="0.35">
      <c r="A6">
        <v>1</v>
      </c>
      <c r="B6" t="s">
        <v>33</v>
      </c>
      <c r="C6" s="8">
        <v>819</v>
      </c>
      <c r="D6" s="8"/>
      <c r="E6" s="8"/>
      <c r="F6" s="8"/>
      <c r="G6" s="8"/>
      <c r="H6" s="9">
        <f t="shared" ref="H6:H21" si="0">+IFERROR(C6/D6-1,0)</f>
        <v>0</v>
      </c>
      <c r="I6" s="10">
        <f>+IF(D6&lt;&gt;0,C6-D6,0)</f>
        <v>0</v>
      </c>
    </row>
    <row r="7" spans="1:10" x14ac:dyDescent="0.35">
      <c r="A7">
        <v>2</v>
      </c>
      <c r="B7" t="s">
        <v>38</v>
      </c>
      <c r="C7" s="8">
        <v>872.5</v>
      </c>
      <c r="D7" s="8">
        <v>890</v>
      </c>
      <c r="E7" s="8"/>
      <c r="F7" s="8"/>
      <c r="G7" s="8"/>
      <c r="H7" s="9">
        <f t="shared" si="0"/>
        <v>-1.9662921348314599E-2</v>
      </c>
      <c r="I7" s="10">
        <f t="shared" ref="I7:I21" si="1">+IF(D7&lt;&gt;0,C7-D7,0)</f>
        <v>-17.5</v>
      </c>
    </row>
    <row r="8" spans="1:10" x14ac:dyDescent="0.35">
      <c r="A8">
        <v>3</v>
      </c>
      <c r="B8" t="s">
        <v>68</v>
      </c>
      <c r="C8" s="8">
        <v>844</v>
      </c>
      <c r="D8" s="8">
        <v>901</v>
      </c>
      <c r="E8" s="8"/>
      <c r="F8" s="8"/>
      <c r="G8" s="8"/>
      <c r="H8" s="9">
        <f t="shared" si="0"/>
        <v>-6.326304106548275E-2</v>
      </c>
      <c r="I8" s="10">
        <f t="shared" si="1"/>
        <v>-57</v>
      </c>
    </row>
    <row r="9" spans="1:10" x14ac:dyDescent="0.35">
      <c r="A9">
        <v>4</v>
      </c>
      <c r="B9" t="s">
        <v>82</v>
      </c>
      <c r="C9" s="8">
        <v>807.5</v>
      </c>
      <c r="D9" s="8">
        <v>823.5</v>
      </c>
      <c r="E9" s="8"/>
      <c r="F9" s="8"/>
      <c r="G9" s="8"/>
      <c r="H9" s="9">
        <f t="shared" si="0"/>
        <v>-1.9429265330904721E-2</v>
      </c>
      <c r="I9" s="10">
        <f>+IF(D9&lt;&gt;0,C9-D9,0)</f>
        <v>-16</v>
      </c>
    </row>
    <row r="10" spans="1:10" x14ac:dyDescent="0.35">
      <c r="A10">
        <v>5</v>
      </c>
      <c r="B10" t="s">
        <v>88</v>
      </c>
      <c r="C10" s="8">
        <v>787.6</v>
      </c>
      <c r="D10" s="8">
        <v>789.75</v>
      </c>
      <c r="E10" s="8">
        <v>864</v>
      </c>
      <c r="F10" s="8"/>
      <c r="G10" s="8"/>
      <c r="H10" s="9">
        <f t="shared" si="0"/>
        <v>-2.7223805001582724E-3</v>
      </c>
      <c r="I10" s="10">
        <f t="shared" si="1"/>
        <v>-2.1499999999999773</v>
      </c>
    </row>
    <row r="11" spans="1:10" x14ac:dyDescent="0.35">
      <c r="A11">
        <v>6</v>
      </c>
      <c r="B11" t="s">
        <v>229</v>
      </c>
      <c r="C11" s="8">
        <v>777.2</v>
      </c>
      <c r="D11" s="8">
        <v>777</v>
      </c>
      <c r="E11" s="8"/>
      <c r="F11" s="8"/>
      <c r="G11" s="8"/>
      <c r="H11" s="9">
        <f t="shared" si="0"/>
        <v>2.5740025740028649E-4</v>
      </c>
      <c r="I11" s="10">
        <f t="shared" si="1"/>
        <v>0.20000000000004547</v>
      </c>
    </row>
    <row r="12" spans="1:10" x14ac:dyDescent="0.35">
      <c r="A12">
        <v>7</v>
      </c>
      <c r="B12" t="s">
        <v>122</v>
      </c>
      <c r="C12" s="8">
        <v>776.11111111111109</v>
      </c>
      <c r="D12" s="8">
        <v>773.66666666666663</v>
      </c>
      <c r="E12" s="8"/>
      <c r="F12" s="8"/>
      <c r="G12" s="8"/>
      <c r="H12" s="9">
        <f t="shared" si="0"/>
        <v>3.1595576619274368E-3</v>
      </c>
      <c r="I12" s="10">
        <f t="shared" si="1"/>
        <v>2.4444444444444571</v>
      </c>
      <c r="J12" t="s">
        <v>333</v>
      </c>
    </row>
    <row r="13" spans="1:10" x14ac:dyDescent="0.35">
      <c r="A13">
        <v>8</v>
      </c>
      <c r="B13" t="s">
        <v>129</v>
      </c>
      <c r="C13" s="8">
        <v>808.85714285714289</v>
      </c>
      <c r="D13" s="8">
        <v>835</v>
      </c>
      <c r="E13" s="8"/>
      <c r="F13" s="8"/>
      <c r="G13" s="8"/>
      <c r="H13" s="9">
        <f t="shared" si="0"/>
        <v>-3.130881094952942E-2</v>
      </c>
      <c r="I13" s="10">
        <f t="shared" si="1"/>
        <v>-26.14285714285711</v>
      </c>
    </row>
    <row r="14" spans="1:10" x14ac:dyDescent="0.35">
      <c r="A14">
        <v>9</v>
      </c>
      <c r="B14" t="s">
        <v>140</v>
      </c>
      <c r="C14" s="8">
        <v>819.6</v>
      </c>
      <c r="D14" s="8">
        <v>825</v>
      </c>
      <c r="E14" s="8"/>
      <c r="F14" s="8"/>
      <c r="G14" s="8">
        <v>1170</v>
      </c>
      <c r="H14" s="9">
        <f t="shared" si="0"/>
        <v>-6.545454545454521E-3</v>
      </c>
      <c r="I14" s="10">
        <f t="shared" si="1"/>
        <v>-5.3999999999999773</v>
      </c>
    </row>
    <row r="15" spans="1:10" x14ac:dyDescent="0.35">
      <c r="A15">
        <v>10</v>
      </c>
      <c r="B15" t="s">
        <v>187</v>
      </c>
      <c r="C15" s="8">
        <v>866</v>
      </c>
      <c r="D15" s="8">
        <v>900</v>
      </c>
      <c r="E15" s="8">
        <v>952</v>
      </c>
      <c r="F15" s="8"/>
      <c r="G15" s="8"/>
      <c r="H15" s="9">
        <f t="shared" si="0"/>
        <v>-3.7777777777777799E-2</v>
      </c>
      <c r="I15" s="10">
        <f t="shared" si="1"/>
        <v>-34</v>
      </c>
    </row>
    <row r="16" spans="1:10" x14ac:dyDescent="0.35">
      <c r="A16">
        <v>12</v>
      </c>
      <c r="B16" t="s">
        <v>212</v>
      </c>
      <c r="C16" s="8">
        <v>1301</v>
      </c>
      <c r="D16" s="8"/>
      <c r="E16" s="8"/>
      <c r="F16" s="8"/>
      <c r="G16" s="8"/>
      <c r="H16" s="9">
        <f t="shared" si="0"/>
        <v>0</v>
      </c>
      <c r="I16" s="10">
        <f t="shared" si="1"/>
        <v>0</v>
      </c>
    </row>
    <row r="17" spans="1:9" x14ac:dyDescent="0.35">
      <c r="A17">
        <v>13</v>
      </c>
      <c r="B17" t="s">
        <v>224</v>
      </c>
      <c r="C17" s="8">
        <v>773.25</v>
      </c>
      <c r="D17" s="8">
        <v>806.83333333333337</v>
      </c>
      <c r="E17" s="8"/>
      <c r="F17" s="8"/>
      <c r="G17" s="8"/>
      <c r="H17" s="9">
        <f t="shared" si="0"/>
        <v>-4.1623631481099044E-2</v>
      </c>
      <c r="I17" s="10">
        <f t="shared" si="1"/>
        <v>-33.583333333333371</v>
      </c>
    </row>
    <row r="18" spans="1:9" x14ac:dyDescent="0.35">
      <c r="A18">
        <v>14</v>
      </c>
      <c r="B18" t="s">
        <v>182</v>
      </c>
      <c r="C18" s="8">
        <v>840</v>
      </c>
      <c r="D18" s="8">
        <v>830</v>
      </c>
      <c r="E18" s="8"/>
      <c r="F18" s="8">
        <v>855</v>
      </c>
      <c r="G18" s="8"/>
      <c r="H18" s="9">
        <f t="shared" si="0"/>
        <v>1.2048192771084265E-2</v>
      </c>
      <c r="I18" s="10">
        <f t="shared" si="1"/>
        <v>10</v>
      </c>
    </row>
    <row r="19" spans="1:9" x14ac:dyDescent="0.35">
      <c r="A19">
        <v>15</v>
      </c>
      <c r="B19" t="s">
        <v>28</v>
      </c>
      <c r="C19" s="8">
        <v>870</v>
      </c>
      <c r="D19" s="8">
        <v>900</v>
      </c>
      <c r="E19" s="8"/>
      <c r="F19" s="8"/>
      <c r="G19" s="8"/>
      <c r="H19" s="9">
        <f t="shared" si="0"/>
        <v>-3.3333333333333326E-2</v>
      </c>
      <c r="I19" s="10">
        <f t="shared" si="1"/>
        <v>-30</v>
      </c>
    </row>
    <row r="20" spans="1:9" x14ac:dyDescent="0.35">
      <c r="A20">
        <v>16</v>
      </c>
      <c r="B20" t="s">
        <v>117</v>
      </c>
      <c r="C20" s="8">
        <v>780</v>
      </c>
      <c r="D20" s="8">
        <v>764.5</v>
      </c>
      <c r="E20" s="8">
        <v>862</v>
      </c>
      <c r="F20" s="8"/>
      <c r="G20" s="8"/>
      <c r="H20" s="9">
        <f t="shared" si="0"/>
        <v>2.0274689339437435E-2</v>
      </c>
      <c r="I20" s="10">
        <f t="shared" si="1"/>
        <v>15.5</v>
      </c>
    </row>
    <row r="21" spans="1:9" x14ac:dyDescent="0.35">
      <c r="A21" t="s">
        <v>334</v>
      </c>
      <c r="C21" s="19">
        <v>818.88732394366195</v>
      </c>
      <c r="D21" s="19">
        <v>814.12962962962968</v>
      </c>
      <c r="E21" s="19">
        <v>892.66666666666663</v>
      </c>
      <c r="F21" s="19">
        <v>855</v>
      </c>
      <c r="G21" s="8">
        <v>1170</v>
      </c>
      <c r="H21" s="9">
        <f t="shared" si="0"/>
        <v>5.8439026671914807E-3</v>
      </c>
      <c r="I21" s="10">
        <f t="shared" si="1"/>
        <v>4.7576943140322783</v>
      </c>
    </row>
    <row r="30" spans="1:9" x14ac:dyDescent="0.35">
      <c r="A30" s="11"/>
      <c r="B30" s="11"/>
    </row>
    <row r="31" spans="1:9" x14ac:dyDescent="0.35">
      <c r="A31" s="11"/>
    </row>
    <row r="32" spans="1:9" x14ac:dyDescent="0.35">
      <c r="A32" s="11"/>
    </row>
    <row r="45" spans="1:12" x14ac:dyDescent="0.35">
      <c r="A45" s="18" t="s">
        <v>330</v>
      </c>
      <c r="D45" s="18" t="s">
        <v>4</v>
      </c>
    </row>
    <row r="46" spans="1:12" x14ac:dyDescent="0.35">
      <c r="A46" s="18" t="s">
        <v>3</v>
      </c>
      <c r="B46" s="18" t="s">
        <v>2</v>
      </c>
      <c r="C46" s="18" t="s">
        <v>5</v>
      </c>
      <c r="D46" t="s">
        <v>20</v>
      </c>
      <c r="E46" t="s">
        <v>306</v>
      </c>
      <c r="F46" t="s">
        <v>309</v>
      </c>
      <c r="G46" t="s">
        <v>310</v>
      </c>
      <c r="H46" t="s">
        <v>303</v>
      </c>
      <c r="I46" t="s">
        <v>331</v>
      </c>
      <c r="J46" t="s">
        <v>332</v>
      </c>
      <c r="K46" t="s">
        <v>335</v>
      </c>
      <c r="L46" t="s">
        <v>336</v>
      </c>
    </row>
    <row r="47" spans="1:12" x14ac:dyDescent="0.35">
      <c r="A47">
        <v>1</v>
      </c>
      <c r="B47" t="s">
        <v>33</v>
      </c>
      <c r="C47" t="s">
        <v>22</v>
      </c>
      <c r="D47" s="8">
        <v>786</v>
      </c>
      <c r="E47" s="8">
        <v>0</v>
      </c>
      <c r="F47" s="8"/>
      <c r="G47" s="8"/>
      <c r="H47" s="8"/>
      <c r="I47" s="9">
        <f>+IFERROR(D47/E47-1,0)</f>
        <v>0</v>
      </c>
      <c r="J47" s="10">
        <f>+IF(E47&lt;&gt;0,D47-E47,0)</f>
        <v>0</v>
      </c>
      <c r="K47" s="9">
        <f>+IFERROR(D47/F47-1,0)</f>
        <v>0</v>
      </c>
      <c r="L47" s="10">
        <f>+IF(F47&lt;&gt;0,D47-F47,0)</f>
        <v>0</v>
      </c>
    </row>
    <row r="48" spans="1:12" x14ac:dyDescent="0.35">
      <c r="A48">
        <v>1</v>
      </c>
      <c r="B48" t="s">
        <v>33</v>
      </c>
      <c r="C48" t="s">
        <v>34</v>
      </c>
      <c r="D48" s="8">
        <v>852</v>
      </c>
      <c r="E48" s="8"/>
      <c r="F48" s="8"/>
      <c r="G48" s="8"/>
      <c r="H48" s="8"/>
      <c r="I48" s="9">
        <f t="shared" ref="I48:I111" si="2">+IFERROR(D48/E48-1,0)</f>
        <v>0</v>
      </c>
      <c r="J48" s="10">
        <f t="shared" ref="J48:J111" si="3">+IF(E48&lt;&gt;0,D48-E48,0)</f>
        <v>0</v>
      </c>
      <c r="K48" s="9">
        <f t="shared" ref="K48:K111" si="4">+IFERROR(D48/F48-1,0)</f>
        <v>0</v>
      </c>
      <c r="L48" s="10">
        <f t="shared" ref="L48:L111" si="5">+IF(F48&lt;&gt;0,D48-F48,0)</f>
        <v>0</v>
      </c>
    </row>
    <row r="49" spans="1:13" x14ac:dyDescent="0.35">
      <c r="A49" t="s">
        <v>337</v>
      </c>
      <c r="D49" s="8">
        <v>819</v>
      </c>
      <c r="E49" s="8">
        <v>0</v>
      </c>
      <c r="F49" s="8"/>
      <c r="G49" s="8"/>
      <c r="H49" s="8"/>
      <c r="I49" s="9">
        <f t="shared" si="2"/>
        <v>0</v>
      </c>
      <c r="J49" s="10">
        <f t="shared" si="3"/>
        <v>0</v>
      </c>
      <c r="K49" s="9">
        <f t="shared" si="4"/>
        <v>0</v>
      </c>
      <c r="L49" s="10">
        <f t="shared" si="5"/>
        <v>0</v>
      </c>
    </row>
    <row r="50" spans="1:13" x14ac:dyDescent="0.35">
      <c r="A50">
        <v>2</v>
      </c>
      <c r="B50" t="s">
        <v>38</v>
      </c>
      <c r="C50" t="s">
        <v>50</v>
      </c>
      <c r="D50" s="8">
        <v>950</v>
      </c>
      <c r="E50" s="8"/>
      <c r="F50" s="8"/>
      <c r="G50" s="8"/>
      <c r="H50" s="8"/>
      <c r="I50" s="9">
        <f t="shared" si="2"/>
        <v>0</v>
      </c>
      <c r="J50" s="10">
        <f t="shared" si="3"/>
        <v>0</v>
      </c>
      <c r="K50" s="9">
        <f t="shared" si="4"/>
        <v>0</v>
      </c>
      <c r="L50" s="10">
        <f t="shared" si="5"/>
        <v>0</v>
      </c>
    </row>
    <row r="51" spans="1:13" x14ac:dyDescent="0.35">
      <c r="A51">
        <v>2</v>
      </c>
      <c r="B51" t="s">
        <v>38</v>
      </c>
      <c r="C51" t="s">
        <v>39</v>
      </c>
      <c r="D51" s="8">
        <v>860</v>
      </c>
      <c r="E51" s="8">
        <v>445</v>
      </c>
      <c r="F51" s="8">
        <v>0</v>
      </c>
      <c r="G51" s="8"/>
      <c r="H51" s="8"/>
      <c r="I51" s="9">
        <f t="shared" si="2"/>
        <v>0.93258426966292141</v>
      </c>
      <c r="J51" s="10">
        <f t="shared" si="3"/>
        <v>415</v>
      </c>
      <c r="K51" s="9">
        <f t="shared" si="4"/>
        <v>0</v>
      </c>
      <c r="L51" s="10">
        <f t="shared" si="5"/>
        <v>0</v>
      </c>
    </row>
    <row r="52" spans="1:13" x14ac:dyDescent="0.35">
      <c r="A52">
        <v>2</v>
      </c>
      <c r="B52" t="s">
        <v>38</v>
      </c>
      <c r="C52" t="s">
        <v>43</v>
      </c>
      <c r="D52" s="8">
        <v>860</v>
      </c>
      <c r="E52" s="8"/>
      <c r="F52" s="8"/>
      <c r="G52" s="8"/>
      <c r="H52" s="8"/>
      <c r="I52" s="9">
        <f t="shared" si="2"/>
        <v>0</v>
      </c>
      <c r="J52" s="10">
        <f t="shared" si="3"/>
        <v>0</v>
      </c>
      <c r="K52" s="9">
        <f t="shared" si="4"/>
        <v>0</v>
      </c>
      <c r="L52" s="10">
        <f t="shared" si="5"/>
        <v>0</v>
      </c>
    </row>
    <row r="53" spans="1:13" x14ac:dyDescent="0.35">
      <c r="A53">
        <v>2</v>
      </c>
      <c r="B53" t="s">
        <v>38</v>
      </c>
      <c r="C53" t="s">
        <v>54</v>
      </c>
      <c r="D53" s="8">
        <v>860</v>
      </c>
      <c r="E53" s="8"/>
      <c r="F53" s="8"/>
      <c r="G53" s="8"/>
      <c r="H53" s="8"/>
      <c r="I53" s="9">
        <f t="shared" si="2"/>
        <v>0</v>
      </c>
      <c r="J53" s="10">
        <f t="shared" si="3"/>
        <v>0</v>
      </c>
      <c r="K53" s="9">
        <f t="shared" si="4"/>
        <v>0</v>
      </c>
      <c r="L53" s="10">
        <f t="shared" si="5"/>
        <v>0</v>
      </c>
    </row>
    <row r="54" spans="1:13" x14ac:dyDescent="0.35">
      <c r="A54">
        <v>2</v>
      </c>
      <c r="B54" t="s">
        <v>38</v>
      </c>
      <c r="C54" t="s">
        <v>47</v>
      </c>
      <c r="D54" s="8">
        <v>860</v>
      </c>
      <c r="E54" s="8"/>
      <c r="F54" s="8"/>
      <c r="G54" s="8"/>
      <c r="H54" s="8"/>
      <c r="I54" s="9">
        <f t="shared" si="2"/>
        <v>0</v>
      </c>
      <c r="J54" s="10">
        <f t="shared" si="3"/>
        <v>0</v>
      </c>
      <c r="K54" s="9">
        <f t="shared" si="4"/>
        <v>0</v>
      </c>
      <c r="L54" s="10">
        <f t="shared" si="5"/>
        <v>0</v>
      </c>
    </row>
    <row r="55" spans="1:13" x14ac:dyDescent="0.35">
      <c r="A55">
        <v>2</v>
      </c>
      <c r="B55" t="s">
        <v>38</v>
      </c>
      <c r="C55" t="s">
        <v>64</v>
      </c>
      <c r="D55" s="8">
        <v>865</v>
      </c>
      <c r="E55" s="8"/>
      <c r="F55" s="8"/>
      <c r="G55" s="8"/>
      <c r="H55" s="8"/>
      <c r="I55" s="9">
        <f t="shared" si="2"/>
        <v>0</v>
      </c>
      <c r="J55" s="10">
        <f t="shared" si="3"/>
        <v>0</v>
      </c>
      <c r="K55" s="9">
        <f t="shared" si="4"/>
        <v>0</v>
      </c>
      <c r="L55" s="10">
        <f t="shared" si="5"/>
        <v>0</v>
      </c>
    </row>
    <row r="56" spans="1:13" x14ac:dyDescent="0.35">
      <c r="A56">
        <v>2</v>
      </c>
      <c r="B56" t="s">
        <v>38</v>
      </c>
      <c r="C56" t="s">
        <v>58</v>
      </c>
      <c r="D56" s="8">
        <v>865</v>
      </c>
      <c r="E56" s="8"/>
      <c r="F56" s="8"/>
      <c r="G56" s="8"/>
      <c r="H56" s="8"/>
      <c r="I56" s="9">
        <f t="shared" si="2"/>
        <v>0</v>
      </c>
      <c r="J56" s="10">
        <f t="shared" si="3"/>
        <v>0</v>
      </c>
      <c r="K56" s="9">
        <f t="shared" si="4"/>
        <v>0</v>
      </c>
      <c r="L56" s="10">
        <f t="shared" si="5"/>
        <v>0</v>
      </c>
    </row>
    <row r="57" spans="1:13" x14ac:dyDescent="0.35">
      <c r="A57" t="s">
        <v>338</v>
      </c>
      <c r="D57" s="8">
        <v>872.5</v>
      </c>
      <c r="E57" s="8">
        <v>445</v>
      </c>
      <c r="F57" s="8">
        <v>0</v>
      </c>
      <c r="G57" s="8"/>
      <c r="H57" s="8"/>
      <c r="I57" s="9">
        <f t="shared" si="2"/>
        <v>0.9606741573033708</v>
      </c>
      <c r="J57" s="10">
        <f t="shared" si="3"/>
        <v>427.5</v>
      </c>
      <c r="K57" s="9">
        <f t="shared" si="4"/>
        <v>0</v>
      </c>
      <c r="L57" s="10">
        <f t="shared" si="5"/>
        <v>0</v>
      </c>
    </row>
    <row r="58" spans="1:13" x14ac:dyDescent="0.35">
      <c r="A58">
        <v>3</v>
      </c>
      <c r="B58" t="s">
        <v>68</v>
      </c>
      <c r="C58" t="s">
        <v>76</v>
      </c>
      <c r="D58" s="8">
        <v>867</v>
      </c>
      <c r="E58" s="8">
        <v>448.5</v>
      </c>
      <c r="F58" s="8"/>
      <c r="G58" s="8"/>
      <c r="H58" s="8"/>
      <c r="I58" s="9">
        <f t="shared" si="2"/>
        <v>0.93311036789297663</v>
      </c>
      <c r="J58" s="10">
        <f t="shared" si="3"/>
        <v>418.5</v>
      </c>
      <c r="K58" s="9">
        <f t="shared" si="4"/>
        <v>0</v>
      </c>
      <c r="L58" s="10">
        <f t="shared" si="5"/>
        <v>0</v>
      </c>
    </row>
    <row r="59" spans="1:13" x14ac:dyDescent="0.35">
      <c r="A59">
        <v>3</v>
      </c>
      <c r="B59" t="s">
        <v>68</v>
      </c>
      <c r="C59" t="s">
        <v>72</v>
      </c>
      <c r="D59" s="8">
        <v>885</v>
      </c>
      <c r="E59" s="8">
        <v>905</v>
      </c>
      <c r="F59" s="8"/>
      <c r="G59" s="8"/>
      <c r="H59" s="8"/>
      <c r="I59" s="9">
        <f t="shared" si="2"/>
        <v>-2.2099447513812209E-2</v>
      </c>
      <c r="J59" s="10">
        <f t="shared" si="3"/>
        <v>-20</v>
      </c>
      <c r="K59" s="9">
        <f t="shared" si="4"/>
        <v>0</v>
      </c>
      <c r="L59" s="10">
        <f t="shared" si="5"/>
        <v>0</v>
      </c>
    </row>
    <row r="60" spans="1:13" x14ac:dyDescent="0.35">
      <c r="A60">
        <v>3</v>
      </c>
      <c r="B60" t="s">
        <v>68</v>
      </c>
      <c r="C60" t="s">
        <v>69</v>
      </c>
      <c r="D60" s="8">
        <v>812</v>
      </c>
      <c r="E60" s="8"/>
      <c r="F60" s="8"/>
      <c r="G60" s="8"/>
      <c r="H60" s="8"/>
      <c r="I60" s="9">
        <f t="shared" si="2"/>
        <v>0</v>
      </c>
      <c r="J60" s="10">
        <f t="shared" si="3"/>
        <v>0</v>
      </c>
      <c r="K60" s="9">
        <f t="shared" si="4"/>
        <v>0</v>
      </c>
      <c r="L60" s="10">
        <f t="shared" si="5"/>
        <v>0</v>
      </c>
    </row>
    <row r="61" spans="1:13" x14ac:dyDescent="0.35">
      <c r="A61" t="s">
        <v>339</v>
      </c>
      <c r="D61" s="8">
        <v>844</v>
      </c>
      <c r="E61" s="8">
        <v>600.66666666666663</v>
      </c>
      <c r="F61" s="8"/>
      <c r="G61" s="8"/>
      <c r="H61" s="8"/>
      <c r="I61" s="9">
        <f t="shared" si="2"/>
        <v>0.40510543840177582</v>
      </c>
      <c r="J61" s="10">
        <f t="shared" si="3"/>
        <v>243.33333333333337</v>
      </c>
      <c r="K61" s="9">
        <f t="shared" si="4"/>
        <v>0</v>
      </c>
      <c r="L61" s="10">
        <f t="shared" si="5"/>
        <v>0</v>
      </c>
    </row>
    <row r="62" spans="1:13" x14ac:dyDescent="0.35">
      <c r="A62">
        <v>4</v>
      </c>
      <c r="B62" t="s">
        <v>82</v>
      </c>
      <c r="C62" t="s">
        <v>99</v>
      </c>
      <c r="D62" s="8">
        <v>798</v>
      </c>
      <c r="E62" s="8">
        <v>810</v>
      </c>
      <c r="F62" s="8"/>
      <c r="G62" s="8"/>
      <c r="H62" s="8"/>
      <c r="I62" s="9">
        <f t="shared" si="2"/>
        <v>-1.4814814814814836E-2</v>
      </c>
      <c r="J62" s="10">
        <f t="shared" si="3"/>
        <v>-12</v>
      </c>
      <c r="K62" s="9">
        <f t="shared" si="4"/>
        <v>0</v>
      </c>
      <c r="L62" s="10">
        <f t="shared" si="5"/>
        <v>0</v>
      </c>
    </row>
    <row r="63" spans="1:13" x14ac:dyDescent="0.35">
      <c r="A63">
        <v>4</v>
      </c>
      <c r="B63" t="s">
        <v>82</v>
      </c>
      <c r="C63" t="s">
        <v>83</v>
      </c>
      <c r="D63" s="8">
        <v>798</v>
      </c>
      <c r="E63" s="8"/>
      <c r="F63" s="8"/>
      <c r="G63" s="8"/>
      <c r="H63" s="8"/>
      <c r="I63" s="9">
        <f t="shared" si="2"/>
        <v>0</v>
      </c>
      <c r="J63" s="10">
        <f t="shared" si="3"/>
        <v>0</v>
      </c>
      <c r="K63" s="9">
        <f t="shared" si="4"/>
        <v>0</v>
      </c>
      <c r="L63" s="10">
        <f t="shared" si="5"/>
        <v>0</v>
      </c>
    </row>
    <row r="64" spans="1:13" x14ac:dyDescent="0.35">
      <c r="A64">
        <v>4</v>
      </c>
      <c r="B64" t="s">
        <v>82</v>
      </c>
      <c r="C64" t="s">
        <v>93</v>
      </c>
      <c r="D64" s="8">
        <v>817</v>
      </c>
      <c r="E64" s="8"/>
      <c r="F64" s="8"/>
      <c r="G64" s="8"/>
      <c r="H64" s="8"/>
      <c r="I64" s="9">
        <f t="shared" si="2"/>
        <v>0</v>
      </c>
      <c r="J64" s="10">
        <f t="shared" si="3"/>
        <v>0</v>
      </c>
      <c r="K64" s="9">
        <f t="shared" si="4"/>
        <v>0</v>
      </c>
      <c r="L64" s="10">
        <f t="shared" si="5"/>
        <v>0</v>
      </c>
      <c r="M64" s="12">
        <f>+D64/E65-1</f>
        <v>-2.389486260453999E-2</v>
      </c>
    </row>
    <row r="65" spans="1:12" x14ac:dyDescent="0.35">
      <c r="A65">
        <v>4</v>
      </c>
      <c r="B65" t="s">
        <v>82</v>
      </c>
      <c r="C65" t="s">
        <v>308</v>
      </c>
      <c r="D65" s="8"/>
      <c r="E65" s="8">
        <v>837</v>
      </c>
      <c r="F65" s="8"/>
      <c r="G65" s="8"/>
      <c r="H65" s="8"/>
      <c r="I65" s="9">
        <f t="shared" si="2"/>
        <v>-1</v>
      </c>
      <c r="J65" s="10">
        <f t="shared" si="3"/>
        <v>-837</v>
      </c>
      <c r="K65" s="9">
        <f t="shared" si="4"/>
        <v>0</v>
      </c>
      <c r="L65" s="10">
        <f t="shared" si="5"/>
        <v>0</v>
      </c>
    </row>
    <row r="66" spans="1:12" x14ac:dyDescent="0.35">
      <c r="A66">
        <v>4</v>
      </c>
      <c r="B66" t="s">
        <v>82</v>
      </c>
      <c r="C66" t="s">
        <v>358</v>
      </c>
      <c r="D66" s="8"/>
      <c r="E66" s="8">
        <v>0</v>
      </c>
      <c r="F66" s="8"/>
      <c r="G66" s="8"/>
      <c r="H66" s="8"/>
      <c r="I66" s="9">
        <f t="shared" si="2"/>
        <v>0</v>
      </c>
      <c r="J66" s="10">
        <f t="shared" si="3"/>
        <v>0</v>
      </c>
      <c r="K66" s="9">
        <f t="shared" si="4"/>
        <v>0</v>
      </c>
      <c r="L66" s="10">
        <f t="shared" si="5"/>
        <v>0</v>
      </c>
    </row>
    <row r="67" spans="1:12" x14ac:dyDescent="0.35">
      <c r="A67" t="s">
        <v>340</v>
      </c>
      <c r="D67" s="8">
        <v>807.5</v>
      </c>
      <c r="E67" s="8">
        <v>549</v>
      </c>
      <c r="F67" s="8"/>
      <c r="G67" s="8"/>
      <c r="H67" s="8"/>
      <c r="I67" s="9">
        <f t="shared" si="2"/>
        <v>0.47085610200364303</v>
      </c>
      <c r="J67" s="10">
        <f t="shared" si="3"/>
        <v>258.5</v>
      </c>
      <c r="K67" s="9">
        <f t="shared" si="4"/>
        <v>0</v>
      </c>
      <c r="L67" s="10">
        <f t="shared" si="5"/>
        <v>0</v>
      </c>
    </row>
    <row r="68" spans="1:12" x14ac:dyDescent="0.35">
      <c r="A68" s="13">
        <v>5</v>
      </c>
      <c r="B68" t="s">
        <v>88</v>
      </c>
      <c r="C68" t="s">
        <v>297</v>
      </c>
      <c r="D68" s="8">
        <v>779</v>
      </c>
      <c r="E68" s="8">
        <v>719</v>
      </c>
      <c r="F68" s="8"/>
      <c r="G68" s="8"/>
      <c r="H68" s="8"/>
      <c r="I68" s="9">
        <f t="shared" si="2"/>
        <v>8.3449235048678627E-2</v>
      </c>
      <c r="J68" s="10">
        <f t="shared" si="3"/>
        <v>60</v>
      </c>
      <c r="K68" s="9">
        <f t="shared" si="4"/>
        <v>0</v>
      </c>
      <c r="L68" s="10">
        <f t="shared" si="5"/>
        <v>0</v>
      </c>
    </row>
    <row r="69" spans="1:12" x14ac:dyDescent="0.35">
      <c r="A69" s="13">
        <v>5</v>
      </c>
      <c r="B69" t="s">
        <v>88</v>
      </c>
      <c r="C69" t="s">
        <v>103</v>
      </c>
      <c r="D69" s="8">
        <v>779</v>
      </c>
      <c r="E69" s="8"/>
      <c r="F69" s="8"/>
      <c r="G69" s="8"/>
      <c r="H69" s="8"/>
      <c r="I69" s="9">
        <f t="shared" si="2"/>
        <v>0</v>
      </c>
      <c r="J69" s="10">
        <f t="shared" si="3"/>
        <v>0</v>
      </c>
      <c r="K69" s="9">
        <f t="shared" si="4"/>
        <v>0</v>
      </c>
      <c r="L69" s="10">
        <f t="shared" si="5"/>
        <v>0</v>
      </c>
    </row>
    <row r="70" spans="1:12" x14ac:dyDescent="0.35">
      <c r="A70" s="13">
        <v>5</v>
      </c>
      <c r="B70" t="s">
        <v>88</v>
      </c>
      <c r="C70" t="s">
        <v>319</v>
      </c>
      <c r="D70" s="8"/>
      <c r="E70" s="8">
        <v>809</v>
      </c>
      <c r="F70" s="8"/>
      <c r="G70" s="8"/>
      <c r="H70" s="8"/>
      <c r="I70" s="9">
        <f t="shared" si="2"/>
        <v>-1</v>
      </c>
      <c r="J70" s="10">
        <f t="shared" si="3"/>
        <v>-809</v>
      </c>
      <c r="K70" s="9">
        <f t="shared" si="4"/>
        <v>0</v>
      </c>
      <c r="L70" s="10">
        <f t="shared" si="5"/>
        <v>0</v>
      </c>
    </row>
    <row r="71" spans="1:12" x14ac:dyDescent="0.35">
      <c r="A71" s="13">
        <v>5</v>
      </c>
      <c r="B71" t="s">
        <v>88</v>
      </c>
      <c r="C71" t="s">
        <v>89</v>
      </c>
      <c r="D71" s="8">
        <v>779</v>
      </c>
      <c r="E71" s="8">
        <v>798</v>
      </c>
      <c r="F71" s="8">
        <v>864</v>
      </c>
      <c r="G71" s="8"/>
      <c r="H71" s="8"/>
      <c r="I71" s="9">
        <f t="shared" si="2"/>
        <v>-2.3809523809523836E-2</v>
      </c>
      <c r="J71" s="10">
        <f t="shared" si="3"/>
        <v>-19</v>
      </c>
      <c r="K71" s="9">
        <f t="shared" si="4"/>
        <v>-9.837962962962965E-2</v>
      </c>
      <c r="L71" s="10">
        <f t="shared" si="5"/>
        <v>-85</v>
      </c>
    </row>
    <row r="72" spans="1:12" x14ac:dyDescent="0.35">
      <c r="A72" s="13">
        <v>5</v>
      </c>
      <c r="B72" t="s">
        <v>88</v>
      </c>
      <c r="C72" t="s">
        <v>113</v>
      </c>
      <c r="D72" s="8">
        <v>803</v>
      </c>
      <c r="E72" s="8">
        <v>833</v>
      </c>
      <c r="F72" s="8"/>
      <c r="G72" s="8"/>
      <c r="H72" s="8"/>
      <c r="I72" s="9">
        <f t="shared" si="2"/>
        <v>-3.6014405762304968E-2</v>
      </c>
      <c r="J72" s="10">
        <f t="shared" si="3"/>
        <v>-30</v>
      </c>
      <c r="K72" s="9">
        <f t="shared" si="4"/>
        <v>0</v>
      </c>
      <c r="L72" s="10">
        <f t="shared" si="5"/>
        <v>0</v>
      </c>
    </row>
    <row r="73" spans="1:12" x14ac:dyDescent="0.35">
      <c r="A73" s="13">
        <v>5</v>
      </c>
      <c r="B73" t="s">
        <v>88</v>
      </c>
      <c r="C73" t="s">
        <v>109</v>
      </c>
      <c r="D73" s="8">
        <v>798</v>
      </c>
      <c r="E73" s="8"/>
      <c r="F73" s="8"/>
      <c r="G73" s="8"/>
      <c r="H73" s="8"/>
      <c r="I73" s="9">
        <f t="shared" si="2"/>
        <v>0</v>
      </c>
      <c r="J73" s="10">
        <f t="shared" si="3"/>
        <v>0</v>
      </c>
      <c r="K73" s="9">
        <f t="shared" si="4"/>
        <v>0</v>
      </c>
      <c r="L73" s="10">
        <f t="shared" si="5"/>
        <v>0</v>
      </c>
    </row>
    <row r="74" spans="1:12" x14ac:dyDescent="0.35">
      <c r="A74" t="s">
        <v>341</v>
      </c>
      <c r="D74" s="8">
        <v>787.6</v>
      </c>
      <c r="E74" s="8">
        <v>789.75</v>
      </c>
      <c r="F74" s="8">
        <v>864</v>
      </c>
      <c r="G74" s="8"/>
      <c r="H74" s="8"/>
      <c r="I74" s="9">
        <f t="shared" si="2"/>
        <v>-2.7223805001582724E-3</v>
      </c>
      <c r="J74" s="10">
        <f t="shared" si="3"/>
        <v>-2.1499999999999773</v>
      </c>
      <c r="K74" s="9">
        <f t="shared" si="4"/>
        <v>-8.8425925925925908E-2</v>
      </c>
      <c r="L74" s="10">
        <f t="shared" si="5"/>
        <v>-76.399999999999977</v>
      </c>
    </row>
    <row r="75" spans="1:12" x14ac:dyDescent="0.35">
      <c r="A75">
        <v>6</v>
      </c>
      <c r="B75" t="s">
        <v>229</v>
      </c>
      <c r="C75" t="s">
        <v>238</v>
      </c>
      <c r="D75" s="8">
        <v>780</v>
      </c>
      <c r="E75" s="8"/>
      <c r="F75" s="8"/>
      <c r="G75" s="8"/>
      <c r="H75" s="8"/>
      <c r="I75" s="9">
        <f t="shared" si="2"/>
        <v>0</v>
      </c>
      <c r="J75" s="10">
        <f t="shared" si="3"/>
        <v>0</v>
      </c>
      <c r="K75" s="9">
        <f t="shared" si="4"/>
        <v>0</v>
      </c>
      <c r="L75" s="10">
        <f t="shared" si="5"/>
        <v>0</v>
      </c>
    </row>
    <row r="76" spans="1:12" x14ac:dyDescent="0.35">
      <c r="A76">
        <v>6</v>
      </c>
      <c r="B76" t="s">
        <v>229</v>
      </c>
      <c r="C76" t="s">
        <v>262</v>
      </c>
      <c r="D76" s="8">
        <v>795</v>
      </c>
      <c r="E76" s="8"/>
      <c r="F76" s="8"/>
      <c r="G76" s="8"/>
      <c r="H76" s="8"/>
      <c r="I76" s="9">
        <f t="shared" si="2"/>
        <v>0</v>
      </c>
      <c r="J76" s="10">
        <f t="shared" si="3"/>
        <v>0</v>
      </c>
      <c r="K76" s="9">
        <f t="shared" si="4"/>
        <v>0</v>
      </c>
      <c r="L76" s="10">
        <f t="shared" si="5"/>
        <v>0</v>
      </c>
    </row>
    <row r="77" spans="1:12" x14ac:dyDescent="0.35">
      <c r="A77">
        <v>6</v>
      </c>
      <c r="B77" t="s">
        <v>229</v>
      </c>
      <c r="C77" t="s">
        <v>230</v>
      </c>
      <c r="D77" s="8">
        <v>757</v>
      </c>
      <c r="E77" s="8"/>
      <c r="F77" s="8"/>
      <c r="G77" s="8"/>
      <c r="H77" s="8"/>
      <c r="I77" s="9">
        <f t="shared" si="2"/>
        <v>0</v>
      </c>
      <c r="J77" s="10">
        <f t="shared" si="3"/>
        <v>0</v>
      </c>
      <c r="K77" s="9">
        <f t="shared" si="4"/>
        <v>0</v>
      </c>
      <c r="L77" s="10">
        <f t="shared" si="5"/>
        <v>0</v>
      </c>
    </row>
    <row r="78" spans="1:12" x14ac:dyDescent="0.35">
      <c r="A78">
        <v>6</v>
      </c>
      <c r="B78" t="s">
        <v>229</v>
      </c>
      <c r="C78" t="s">
        <v>252</v>
      </c>
      <c r="D78" s="8">
        <v>777</v>
      </c>
      <c r="E78" s="8">
        <v>777</v>
      </c>
      <c r="F78" s="8"/>
      <c r="G78" s="8"/>
      <c r="H78" s="8"/>
      <c r="I78" s="9">
        <f t="shared" si="2"/>
        <v>0</v>
      </c>
      <c r="J78" s="10">
        <f t="shared" si="3"/>
        <v>0</v>
      </c>
      <c r="K78" s="9">
        <f t="shared" si="4"/>
        <v>0</v>
      </c>
      <c r="L78" s="10">
        <f t="shared" si="5"/>
        <v>0</v>
      </c>
    </row>
    <row r="79" spans="1:12" x14ac:dyDescent="0.35">
      <c r="A79" t="s">
        <v>342</v>
      </c>
      <c r="D79" s="8">
        <v>777.2</v>
      </c>
      <c r="E79" s="8">
        <v>777</v>
      </c>
      <c r="F79" s="8"/>
      <c r="G79" s="8"/>
      <c r="H79" s="8"/>
      <c r="I79" s="9">
        <f t="shared" si="2"/>
        <v>2.5740025740028649E-4</v>
      </c>
      <c r="J79" s="10">
        <f t="shared" si="3"/>
        <v>0.20000000000004547</v>
      </c>
      <c r="K79" s="9">
        <f t="shared" si="4"/>
        <v>0</v>
      </c>
      <c r="L79" s="10">
        <f t="shared" si="5"/>
        <v>0</v>
      </c>
    </row>
    <row r="80" spans="1:12" x14ac:dyDescent="0.35">
      <c r="A80">
        <v>7</v>
      </c>
      <c r="B80" t="s">
        <v>122</v>
      </c>
      <c r="C80" t="s">
        <v>287</v>
      </c>
      <c r="D80" s="8">
        <v>780</v>
      </c>
      <c r="E80" s="8"/>
      <c r="F80" s="8"/>
      <c r="G80" s="8"/>
      <c r="H80" s="8"/>
      <c r="I80" s="9">
        <f t="shared" si="2"/>
        <v>0</v>
      </c>
      <c r="J80" s="10">
        <f t="shared" si="3"/>
        <v>0</v>
      </c>
      <c r="K80" s="9">
        <f t="shared" si="4"/>
        <v>0</v>
      </c>
      <c r="L80" s="10">
        <f t="shared" si="5"/>
        <v>0</v>
      </c>
    </row>
    <row r="81" spans="1:13" x14ac:dyDescent="0.35">
      <c r="A81">
        <v>7</v>
      </c>
      <c r="B81" t="s">
        <v>122</v>
      </c>
      <c r="C81" t="s">
        <v>313</v>
      </c>
      <c r="D81" s="8"/>
      <c r="E81" s="8">
        <v>799</v>
      </c>
      <c r="F81" s="8"/>
      <c r="G81" s="8"/>
      <c r="H81" s="8"/>
      <c r="I81" s="9">
        <f t="shared" si="2"/>
        <v>-1</v>
      </c>
      <c r="J81" s="10">
        <f t="shared" si="3"/>
        <v>-799</v>
      </c>
      <c r="K81" s="9">
        <f t="shared" si="4"/>
        <v>0</v>
      </c>
      <c r="L81" s="10">
        <f t="shared" si="5"/>
        <v>0</v>
      </c>
    </row>
    <row r="82" spans="1:13" x14ac:dyDescent="0.35">
      <c r="A82">
        <v>7</v>
      </c>
      <c r="B82" t="s">
        <v>122</v>
      </c>
      <c r="C82" t="s">
        <v>221</v>
      </c>
      <c r="D82" s="8">
        <v>780</v>
      </c>
      <c r="E82" s="8"/>
      <c r="F82" s="8"/>
      <c r="G82" s="8"/>
      <c r="H82" s="8"/>
      <c r="I82" s="9">
        <f t="shared" si="2"/>
        <v>0</v>
      </c>
      <c r="J82" s="10">
        <f t="shared" si="3"/>
        <v>0</v>
      </c>
      <c r="K82" s="9">
        <f t="shared" si="4"/>
        <v>0</v>
      </c>
      <c r="L82" s="10">
        <f t="shared" si="5"/>
        <v>0</v>
      </c>
    </row>
    <row r="83" spans="1:13" x14ac:dyDescent="0.35">
      <c r="A83">
        <v>7</v>
      </c>
      <c r="B83" t="s">
        <v>122</v>
      </c>
      <c r="C83" t="s">
        <v>292</v>
      </c>
      <c r="D83" s="8">
        <v>780</v>
      </c>
      <c r="E83" s="8"/>
      <c r="F83" s="8"/>
      <c r="G83" s="8"/>
      <c r="H83" s="8"/>
      <c r="I83" s="9">
        <f t="shared" si="2"/>
        <v>0</v>
      </c>
      <c r="J83" s="10">
        <f t="shared" si="3"/>
        <v>0</v>
      </c>
      <c r="K83" s="9">
        <f t="shared" si="4"/>
        <v>0</v>
      </c>
      <c r="L83" s="10">
        <f t="shared" si="5"/>
        <v>0</v>
      </c>
    </row>
    <row r="84" spans="1:13" x14ac:dyDescent="0.35">
      <c r="A84">
        <v>7</v>
      </c>
      <c r="B84" t="s">
        <v>122</v>
      </c>
      <c r="C84" t="s">
        <v>123</v>
      </c>
      <c r="D84" s="8">
        <v>780</v>
      </c>
      <c r="E84" s="8">
        <v>810</v>
      </c>
      <c r="F84" s="8"/>
      <c r="G84" s="8"/>
      <c r="H84" s="8"/>
      <c r="I84" s="9">
        <f t="shared" si="2"/>
        <v>-3.703703703703709E-2</v>
      </c>
      <c r="J84" s="10">
        <f t="shared" si="3"/>
        <v>-30</v>
      </c>
      <c r="K84" s="9">
        <f t="shared" si="4"/>
        <v>0</v>
      </c>
      <c r="L84" s="10">
        <f t="shared" si="5"/>
        <v>0</v>
      </c>
    </row>
    <row r="85" spans="1:13" x14ac:dyDescent="0.35">
      <c r="A85">
        <v>7</v>
      </c>
      <c r="B85" t="s">
        <v>122</v>
      </c>
      <c r="C85" t="s">
        <v>266</v>
      </c>
      <c r="D85" s="8">
        <v>769</v>
      </c>
      <c r="E85" s="8"/>
      <c r="F85" s="8"/>
      <c r="G85" s="8"/>
      <c r="H85" s="8"/>
      <c r="I85" s="9">
        <f t="shared" si="2"/>
        <v>0</v>
      </c>
      <c r="J85" s="10">
        <f t="shared" si="3"/>
        <v>0</v>
      </c>
      <c r="K85" s="9">
        <f t="shared" si="4"/>
        <v>0</v>
      </c>
      <c r="L85" s="10">
        <f t="shared" si="5"/>
        <v>0</v>
      </c>
    </row>
    <row r="86" spans="1:13" x14ac:dyDescent="0.35">
      <c r="A86">
        <v>7</v>
      </c>
      <c r="B86" t="s">
        <v>122</v>
      </c>
      <c r="C86" t="s">
        <v>278</v>
      </c>
      <c r="D86" s="8">
        <v>774</v>
      </c>
      <c r="E86" s="8"/>
      <c r="F86" s="8"/>
      <c r="G86" s="8"/>
      <c r="H86" s="8"/>
      <c r="I86" s="9">
        <f t="shared" si="2"/>
        <v>0</v>
      </c>
      <c r="J86" s="10">
        <f t="shared" si="3"/>
        <v>0</v>
      </c>
      <c r="K86" s="9">
        <f t="shared" si="4"/>
        <v>0</v>
      </c>
      <c r="L86" s="10">
        <f t="shared" si="5"/>
        <v>0</v>
      </c>
    </row>
    <row r="87" spans="1:13" x14ac:dyDescent="0.35">
      <c r="A87">
        <v>7</v>
      </c>
      <c r="B87" t="s">
        <v>122</v>
      </c>
      <c r="C87" t="s">
        <v>242</v>
      </c>
      <c r="D87" s="8">
        <v>780</v>
      </c>
      <c r="E87" s="8"/>
      <c r="F87" s="8"/>
      <c r="G87" s="8"/>
      <c r="H87" s="8"/>
      <c r="I87" s="9">
        <f t="shared" si="2"/>
        <v>0</v>
      </c>
      <c r="J87" s="10">
        <f t="shared" si="3"/>
        <v>0</v>
      </c>
      <c r="K87" s="9">
        <f t="shared" si="4"/>
        <v>0</v>
      </c>
      <c r="L87" s="10">
        <f t="shared" si="5"/>
        <v>0</v>
      </c>
    </row>
    <row r="88" spans="1:13" x14ac:dyDescent="0.35">
      <c r="A88">
        <v>7</v>
      </c>
      <c r="B88" t="s">
        <v>122</v>
      </c>
      <c r="C88" t="s">
        <v>218</v>
      </c>
      <c r="D88" s="8">
        <v>780</v>
      </c>
      <c r="E88" s="8"/>
      <c r="F88" s="8"/>
      <c r="G88" s="8"/>
      <c r="H88" s="8"/>
      <c r="I88" s="9">
        <f t="shared" si="2"/>
        <v>0</v>
      </c>
      <c r="J88" s="10">
        <f t="shared" si="3"/>
        <v>0</v>
      </c>
      <c r="K88" s="9">
        <f t="shared" si="4"/>
        <v>0</v>
      </c>
      <c r="L88" s="10">
        <f t="shared" si="5"/>
        <v>0</v>
      </c>
      <c r="M88" s="14">
        <f>+D87-E88</f>
        <v>780</v>
      </c>
    </row>
    <row r="89" spans="1:13" x14ac:dyDescent="0.35">
      <c r="A89">
        <v>7</v>
      </c>
      <c r="B89" t="s">
        <v>122</v>
      </c>
      <c r="C89" t="s">
        <v>314</v>
      </c>
      <c r="D89" s="8"/>
      <c r="E89" s="8">
        <v>754.5</v>
      </c>
      <c r="F89" s="8"/>
      <c r="G89" s="8"/>
      <c r="H89" s="8"/>
      <c r="I89" s="9">
        <f t="shared" si="2"/>
        <v>-1</v>
      </c>
      <c r="J89" s="10">
        <f t="shared" si="3"/>
        <v>-754.5</v>
      </c>
      <c r="K89" s="9">
        <f t="shared" si="4"/>
        <v>0</v>
      </c>
      <c r="L89" s="10">
        <f t="shared" si="5"/>
        <v>0</v>
      </c>
    </row>
    <row r="90" spans="1:13" x14ac:dyDescent="0.35">
      <c r="A90">
        <v>7</v>
      </c>
      <c r="B90" t="s">
        <v>122</v>
      </c>
      <c r="C90" t="s">
        <v>284</v>
      </c>
      <c r="D90" s="8">
        <v>762</v>
      </c>
      <c r="E90" s="8">
        <v>714</v>
      </c>
      <c r="F90" s="8"/>
      <c r="G90" s="8"/>
      <c r="H90" s="8"/>
      <c r="I90" s="9">
        <f t="shared" si="2"/>
        <v>6.7226890756302504E-2</v>
      </c>
      <c r="J90" s="10">
        <f t="shared" si="3"/>
        <v>48</v>
      </c>
      <c r="K90" s="9">
        <f t="shared" si="4"/>
        <v>0</v>
      </c>
      <c r="L90" s="10">
        <f t="shared" si="5"/>
        <v>0</v>
      </c>
    </row>
    <row r="91" spans="1:13" x14ac:dyDescent="0.35">
      <c r="A91" t="s">
        <v>343</v>
      </c>
      <c r="D91" s="8">
        <v>776.11111111111109</v>
      </c>
      <c r="E91" s="8">
        <v>773.66666666666663</v>
      </c>
      <c r="F91" s="8"/>
      <c r="G91" s="8"/>
      <c r="H91" s="8"/>
      <c r="I91" s="9">
        <f t="shared" si="2"/>
        <v>3.1595576619274368E-3</v>
      </c>
      <c r="J91" s="10">
        <f t="shared" si="3"/>
        <v>2.4444444444444571</v>
      </c>
      <c r="K91" s="9">
        <f t="shared" si="4"/>
        <v>0</v>
      </c>
      <c r="L91" s="10">
        <f t="shared" si="5"/>
        <v>0</v>
      </c>
    </row>
    <row r="92" spans="1:13" x14ac:dyDescent="0.35">
      <c r="A92">
        <v>8</v>
      </c>
      <c r="B92" t="s">
        <v>129</v>
      </c>
      <c r="C92" t="s">
        <v>175</v>
      </c>
      <c r="D92" s="8">
        <v>804</v>
      </c>
      <c r="E92" s="8"/>
      <c r="F92" s="8"/>
      <c r="G92" s="8"/>
      <c r="H92" s="8"/>
      <c r="I92" s="9">
        <f t="shared" si="2"/>
        <v>0</v>
      </c>
      <c r="J92" s="10">
        <f t="shared" si="3"/>
        <v>0</v>
      </c>
      <c r="K92" s="9">
        <f t="shared" si="4"/>
        <v>0</v>
      </c>
      <c r="L92" s="10">
        <f t="shared" si="5"/>
        <v>0</v>
      </c>
    </row>
    <row r="93" spans="1:13" x14ac:dyDescent="0.35">
      <c r="A93">
        <v>8</v>
      </c>
      <c r="B93" t="s">
        <v>129</v>
      </c>
      <c r="C93" t="s">
        <v>171</v>
      </c>
      <c r="D93" s="8">
        <v>823</v>
      </c>
      <c r="E93" s="8"/>
      <c r="F93" s="8"/>
      <c r="G93" s="8"/>
      <c r="H93" s="8"/>
      <c r="I93" s="9">
        <f t="shared" si="2"/>
        <v>0</v>
      </c>
      <c r="J93" s="10">
        <f t="shared" si="3"/>
        <v>0</v>
      </c>
      <c r="K93" s="9">
        <f t="shared" si="4"/>
        <v>0</v>
      </c>
      <c r="L93" s="10">
        <f t="shared" si="5"/>
        <v>0</v>
      </c>
      <c r="M93" s="15" t="e">
        <f>+D93/E97-1</f>
        <v>#DIV/0!</v>
      </c>
    </row>
    <row r="94" spans="1:13" x14ac:dyDescent="0.35">
      <c r="A94">
        <v>8</v>
      </c>
      <c r="B94" t="s">
        <v>129</v>
      </c>
      <c r="C94" t="s">
        <v>130</v>
      </c>
      <c r="D94" s="8">
        <v>805</v>
      </c>
      <c r="E94" s="8"/>
      <c r="F94" s="8"/>
      <c r="G94" s="8"/>
      <c r="H94" s="8"/>
      <c r="I94" s="9">
        <f t="shared" si="2"/>
        <v>0</v>
      </c>
      <c r="J94" s="10">
        <f t="shared" si="3"/>
        <v>0</v>
      </c>
      <c r="K94" s="9">
        <f t="shared" si="4"/>
        <v>0</v>
      </c>
      <c r="L94" s="10">
        <f t="shared" si="5"/>
        <v>0</v>
      </c>
    </row>
    <row r="95" spans="1:13" x14ac:dyDescent="0.35">
      <c r="A95">
        <v>8</v>
      </c>
      <c r="B95" t="s">
        <v>129</v>
      </c>
      <c r="C95" t="s">
        <v>167</v>
      </c>
      <c r="D95" s="8">
        <v>805</v>
      </c>
      <c r="E95" s="8"/>
      <c r="F95" s="8"/>
      <c r="G95" s="8"/>
      <c r="H95" s="8"/>
      <c r="I95" s="9">
        <f t="shared" si="2"/>
        <v>0</v>
      </c>
      <c r="J95" s="10">
        <f t="shared" si="3"/>
        <v>0</v>
      </c>
      <c r="K95" s="9">
        <f t="shared" si="4"/>
        <v>0</v>
      </c>
      <c r="L95" s="10">
        <f t="shared" si="5"/>
        <v>0</v>
      </c>
    </row>
    <row r="96" spans="1:13" x14ac:dyDescent="0.35">
      <c r="A96">
        <v>8</v>
      </c>
      <c r="B96" t="s">
        <v>129</v>
      </c>
      <c r="C96" t="s">
        <v>148</v>
      </c>
      <c r="D96" s="8">
        <v>805</v>
      </c>
      <c r="E96" s="8"/>
      <c r="F96" s="8"/>
      <c r="G96" s="8"/>
      <c r="H96" s="8"/>
      <c r="I96" s="9">
        <f t="shared" si="2"/>
        <v>0</v>
      </c>
      <c r="J96" s="10">
        <f t="shared" si="3"/>
        <v>0</v>
      </c>
      <c r="K96" s="9">
        <f t="shared" si="4"/>
        <v>0</v>
      </c>
      <c r="L96" s="10">
        <f t="shared" si="5"/>
        <v>0</v>
      </c>
    </row>
    <row r="97" spans="1:12" x14ac:dyDescent="0.35">
      <c r="A97">
        <v>8</v>
      </c>
      <c r="B97" t="s">
        <v>129</v>
      </c>
      <c r="C97" t="s">
        <v>157</v>
      </c>
      <c r="D97" s="8">
        <v>815</v>
      </c>
      <c r="E97" s="8"/>
      <c r="F97" s="8"/>
      <c r="G97" s="8"/>
      <c r="H97" s="8"/>
      <c r="I97" s="9">
        <f t="shared" si="2"/>
        <v>0</v>
      </c>
      <c r="J97" s="10">
        <f t="shared" si="3"/>
        <v>0</v>
      </c>
      <c r="K97" s="9">
        <f t="shared" si="4"/>
        <v>0</v>
      </c>
      <c r="L97" s="10">
        <f t="shared" si="5"/>
        <v>0</v>
      </c>
    </row>
    <row r="98" spans="1:12" x14ac:dyDescent="0.35">
      <c r="A98">
        <v>8</v>
      </c>
      <c r="B98" t="s">
        <v>129</v>
      </c>
      <c r="C98" t="s">
        <v>307</v>
      </c>
      <c r="D98" s="8"/>
      <c r="E98" s="8">
        <v>835</v>
      </c>
      <c r="F98" s="8"/>
      <c r="G98" s="8"/>
      <c r="H98" s="8"/>
      <c r="I98" s="9">
        <f t="shared" si="2"/>
        <v>-1</v>
      </c>
      <c r="J98" s="10">
        <f t="shared" si="3"/>
        <v>-835</v>
      </c>
      <c r="K98" s="9">
        <f t="shared" si="4"/>
        <v>0</v>
      </c>
      <c r="L98" s="10">
        <f t="shared" si="5"/>
        <v>0</v>
      </c>
    </row>
    <row r="99" spans="1:12" x14ac:dyDescent="0.35">
      <c r="A99" t="s">
        <v>344</v>
      </c>
      <c r="D99" s="8">
        <v>808.85714285714289</v>
      </c>
      <c r="E99" s="8">
        <v>835</v>
      </c>
      <c r="F99" s="8"/>
      <c r="G99" s="8"/>
      <c r="H99" s="8"/>
      <c r="I99" s="9">
        <f t="shared" si="2"/>
        <v>-3.130881094952942E-2</v>
      </c>
      <c r="J99" s="10">
        <f t="shared" si="3"/>
        <v>-26.14285714285711</v>
      </c>
      <c r="K99" s="9">
        <f t="shared" si="4"/>
        <v>0</v>
      </c>
      <c r="L99" s="10">
        <f t="shared" si="5"/>
        <v>0</v>
      </c>
    </row>
    <row r="100" spans="1:12" x14ac:dyDescent="0.35">
      <c r="A100">
        <v>9</v>
      </c>
      <c r="B100" t="s">
        <v>140</v>
      </c>
      <c r="C100" t="s">
        <v>141</v>
      </c>
      <c r="D100" s="8">
        <v>816</v>
      </c>
      <c r="E100" s="8"/>
      <c r="F100" s="8"/>
      <c r="G100" s="8"/>
      <c r="H100" s="8"/>
      <c r="I100" s="9">
        <f t="shared" si="2"/>
        <v>0</v>
      </c>
      <c r="J100" s="10">
        <f t="shared" si="3"/>
        <v>0</v>
      </c>
      <c r="K100" s="9">
        <f t="shared" si="4"/>
        <v>0</v>
      </c>
      <c r="L100" s="10">
        <f t="shared" si="5"/>
        <v>0</v>
      </c>
    </row>
    <row r="101" spans="1:12" x14ac:dyDescent="0.35">
      <c r="A101">
        <v>9</v>
      </c>
      <c r="B101" t="s">
        <v>140</v>
      </c>
      <c r="C101" t="s">
        <v>152</v>
      </c>
      <c r="D101" s="8">
        <v>798</v>
      </c>
      <c r="E101" s="8"/>
      <c r="F101" s="8"/>
      <c r="G101" s="8"/>
      <c r="H101" s="8"/>
      <c r="I101" s="9">
        <f t="shared" si="2"/>
        <v>0</v>
      </c>
      <c r="J101" s="10">
        <f t="shared" si="3"/>
        <v>0</v>
      </c>
      <c r="K101" s="9">
        <f t="shared" si="4"/>
        <v>0</v>
      </c>
      <c r="L101" s="10">
        <f t="shared" si="5"/>
        <v>0</v>
      </c>
    </row>
    <row r="102" spans="1:12" x14ac:dyDescent="0.35">
      <c r="A102">
        <v>9</v>
      </c>
      <c r="B102" t="s">
        <v>140</v>
      </c>
      <c r="C102" t="s">
        <v>145</v>
      </c>
      <c r="D102" s="8">
        <v>840</v>
      </c>
      <c r="E102" s="8"/>
      <c r="F102" s="8"/>
      <c r="G102" s="8"/>
      <c r="H102" s="8"/>
      <c r="I102" s="9">
        <f t="shared" si="2"/>
        <v>0</v>
      </c>
      <c r="J102" s="10">
        <f t="shared" si="3"/>
        <v>0</v>
      </c>
      <c r="K102" s="9">
        <f t="shared" si="4"/>
        <v>0</v>
      </c>
      <c r="L102" s="10">
        <f t="shared" si="5"/>
        <v>0</v>
      </c>
    </row>
    <row r="103" spans="1:12" x14ac:dyDescent="0.35">
      <c r="A103">
        <v>9</v>
      </c>
      <c r="B103" t="s">
        <v>140</v>
      </c>
      <c r="C103" t="s">
        <v>179</v>
      </c>
      <c r="D103" s="8">
        <v>805</v>
      </c>
      <c r="E103" s="8"/>
      <c r="F103" s="8"/>
      <c r="G103" s="8"/>
      <c r="H103" s="8"/>
      <c r="I103" s="9">
        <f t="shared" si="2"/>
        <v>0</v>
      </c>
      <c r="J103" s="10">
        <f t="shared" si="3"/>
        <v>0</v>
      </c>
      <c r="K103" s="9">
        <f t="shared" si="4"/>
        <v>0</v>
      </c>
      <c r="L103" s="10">
        <f t="shared" si="5"/>
        <v>0</v>
      </c>
    </row>
    <row r="104" spans="1:12" x14ac:dyDescent="0.35">
      <c r="A104">
        <v>9</v>
      </c>
      <c r="B104" t="s">
        <v>140</v>
      </c>
      <c r="C104" t="s">
        <v>304</v>
      </c>
      <c r="D104" s="8"/>
      <c r="E104" s="8"/>
      <c r="F104" s="8"/>
      <c r="G104" s="8"/>
      <c r="H104" s="8">
        <v>1170</v>
      </c>
      <c r="I104" s="9">
        <f t="shared" si="2"/>
        <v>0</v>
      </c>
      <c r="J104" s="10">
        <f t="shared" si="3"/>
        <v>0</v>
      </c>
      <c r="K104" s="9">
        <f t="shared" si="4"/>
        <v>0</v>
      </c>
      <c r="L104" s="10">
        <f t="shared" si="5"/>
        <v>0</v>
      </c>
    </row>
    <row r="105" spans="1:12" x14ac:dyDescent="0.35">
      <c r="A105">
        <v>9</v>
      </c>
      <c r="B105" t="s">
        <v>140</v>
      </c>
      <c r="C105" t="s">
        <v>161</v>
      </c>
      <c r="D105" s="8">
        <v>839</v>
      </c>
      <c r="E105" s="8">
        <v>822</v>
      </c>
      <c r="F105" s="8"/>
      <c r="G105" s="8"/>
      <c r="H105" s="8"/>
      <c r="I105" s="9">
        <f t="shared" si="2"/>
        <v>2.0681265206812682E-2</v>
      </c>
      <c r="J105" s="10">
        <f t="shared" si="3"/>
        <v>17</v>
      </c>
      <c r="K105" s="9">
        <f t="shared" si="4"/>
        <v>0</v>
      </c>
      <c r="L105" s="10">
        <f t="shared" si="5"/>
        <v>0</v>
      </c>
    </row>
    <row r="106" spans="1:12" x14ac:dyDescent="0.35">
      <c r="A106">
        <v>9</v>
      </c>
      <c r="B106" t="s">
        <v>140</v>
      </c>
      <c r="C106" t="s">
        <v>360</v>
      </c>
      <c r="D106" s="8"/>
      <c r="E106" s="8">
        <v>414</v>
      </c>
      <c r="F106" s="8"/>
      <c r="G106" s="8"/>
      <c r="H106" s="8"/>
      <c r="I106" s="9">
        <f t="shared" si="2"/>
        <v>-1</v>
      </c>
      <c r="J106" s="10">
        <f t="shared" si="3"/>
        <v>-414</v>
      </c>
      <c r="K106" s="9">
        <f t="shared" si="4"/>
        <v>0</v>
      </c>
      <c r="L106" s="10">
        <f t="shared" si="5"/>
        <v>0</v>
      </c>
    </row>
    <row r="107" spans="1:12" x14ac:dyDescent="0.35">
      <c r="A107" t="s">
        <v>345</v>
      </c>
      <c r="D107" s="8">
        <v>819.6</v>
      </c>
      <c r="E107" s="8">
        <v>550</v>
      </c>
      <c r="F107" s="8"/>
      <c r="G107" s="8"/>
      <c r="H107" s="8">
        <v>1170</v>
      </c>
      <c r="I107" s="9">
        <f t="shared" si="2"/>
        <v>0.49018181818181827</v>
      </c>
      <c r="J107" s="10">
        <f t="shared" si="3"/>
        <v>269.60000000000002</v>
      </c>
      <c r="K107" s="9">
        <f t="shared" si="4"/>
        <v>0</v>
      </c>
      <c r="L107" s="10">
        <f t="shared" si="5"/>
        <v>0</v>
      </c>
    </row>
    <row r="108" spans="1:12" x14ac:dyDescent="0.35">
      <c r="A108">
        <v>10</v>
      </c>
      <c r="B108" t="s">
        <v>187</v>
      </c>
      <c r="C108" t="s">
        <v>205</v>
      </c>
      <c r="D108" s="8">
        <v>846</v>
      </c>
      <c r="E108" s="8"/>
      <c r="F108" s="8"/>
      <c r="G108" s="8"/>
      <c r="H108" s="8"/>
      <c r="I108" s="9">
        <f t="shared" si="2"/>
        <v>0</v>
      </c>
      <c r="J108" s="10">
        <f t="shared" si="3"/>
        <v>0</v>
      </c>
      <c r="K108" s="9">
        <f t="shared" si="4"/>
        <v>0</v>
      </c>
      <c r="L108" s="10">
        <f t="shared" si="5"/>
        <v>0</v>
      </c>
    </row>
    <row r="109" spans="1:12" x14ac:dyDescent="0.35">
      <c r="A109">
        <v>10</v>
      </c>
      <c r="B109" t="s">
        <v>187</v>
      </c>
      <c r="C109" t="s">
        <v>209</v>
      </c>
      <c r="D109" s="8">
        <v>870</v>
      </c>
      <c r="E109" s="8"/>
      <c r="F109" s="8"/>
      <c r="G109" s="8"/>
      <c r="H109" s="8"/>
      <c r="I109" s="9">
        <f t="shared" si="2"/>
        <v>0</v>
      </c>
      <c r="J109" s="10">
        <f t="shared" si="3"/>
        <v>0</v>
      </c>
      <c r="K109" s="9">
        <f t="shared" si="4"/>
        <v>0</v>
      </c>
      <c r="L109" s="10">
        <f t="shared" si="5"/>
        <v>0</v>
      </c>
    </row>
    <row r="110" spans="1:12" x14ac:dyDescent="0.35">
      <c r="A110">
        <v>10</v>
      </c>
      <c r="B110" t="s">
        <v>187</v>
      </c>
      <c r="C110" t="s">
        <v>198</v>
      </c>
      <c r="D110" s="8">
        <v>870</v>
      </c>
      <c r="E110" s="8"/>
      <c r="F110" s="8">
        <v>952</v>
      </c>
      <c r="G110" s="8"/>
      <c r="H110" s="8"/>
      <c r="I110" s="9">
        <f t="shared" si="2"/>
        <v>0</v>
      </c>
      <c r="J110" s="10">
        <f t="shared" si="3"/>
        <v>0</v>
      </c>
      <c r="K110" s="9">
        <f t="shared" si="4"/>
        <v>-8.6134453781512632E-2</v>
      </c>
      <c r="L110" s="10">
        <f t="shared" si="5"/>
        <v>-82</v>
      </c>
    </row>
    <row r="111" spans="1:12" x14ac:dyDescent="0.35">
      <c r="A111">
        <v>10</v>
      </c>
      <c r="B111" t="s">
        <v>187</v>
      </c>
      <c r="C111" t="s">
        <v>188</v>
      </c>
      <c r="D111" s="8">
        <v>870</v>
      </c>
      <c r="E111" s="8">
        <v>900</v>
      </c>
      <c r="F111" s="8"/>
      <c r="G111" s="8"/>
      <c r="H111" s="8"/>
      <c r="I111" s="9">
        <f t="shared" si="2"/>
        <v>-3.3333333333333326E-2</v>
      </c>
      <c r="J111" s="10">
        <f t="shared" si="3"/>
        <v>-30</v>
      </c>
      <c r="K111" s="9">
        <f t="shared" si="4"/>
        <v>0</v>
      </c>
      <c r="L111" s="10">
        <f t="shared" si="5"/>
        <v>0</v>
      </c>
    </row>
    <row r="112" spans="1:12" x14ac:dyDescent="0.35">
      <c r="A112">
        <v>10</v>
      </c>
      <c r="B112" t="s">
        <v>187</v>
      </c>
      <c r="C112" t="s">
        <v>193</v>
      </c>
      <c r="D112" s="8">
        <v>870</v>
      </c>
      <c r="E112" s="8"/>
      <c r="F112" s="8"/>
      <c r="G112" s="8"/>
      <c r="H112" s="8"/>
      <c r="I112" s="9">
        <f t="shared" ref="I112:I132" si="6">+IFERROR(D112/E112-1,0)</f>
        <v>0</v>
      </c>
      <c r="J112" s="10">
        <f t="shared" ref="J112:J132" si="7">+IF(E112&lt;&gt;0,D112-E112,0)</f>
        <v>0</v>
      </c>
      <c r="K112" s="9">
        <f t="shared" ref="K112:K132" si="8">+IFERROR(D112/F112-1,0)</f>
        <v>0</v>
      </c>
      <c r="L112" s="10">
        <f t="shared" ref="L112:L132" si="9">+IF(F112&lt;&gt;0,D112-F112,0)</f>
        <v>0</v>
      </c>
    </row>
    <row r="113" spans="1:12" x14ac:dyDescent="0.35">
      <c r="A113" t="s">
        <v>346</v>
      </c>
      <c r="D113" s="8">
        <v>866</v>
      </c>
      <c r="E113" s="8">
        <v>900</v>
      </c>
      <c r="F113" s="8">
        <v>952</v>
      </c>
      <c r="G113" s="8"/>
      <c r="H113" s="8"/>
      <c r="I113" s="9">
        <f t="shared" si="6"/>
        <v>-3.7777777777777799E-2</v>
      </c>
      <c r="J113" s="10">
        <f t="shared" si="7"/>
        <v>-34</v>
      </c>
      <c r="K113" s="9">
        <f t="shared" si="8"/>
        <v>-9.0336134453781525E-2</v>
      </c>
      <c r="L113" s="10">
        <f t="shared" si="9"/>
        <v>-86</v>
      </c>
    </row>
    <row r="114" spans="1:12" x14ac:dyDescent="0.35">
      <c r="A114">
        <v>12</v>
      </c>
      <c r="B114" t="s">
        <v>212</v>
      </c>
      <c r="C114" t="s">
        <v>213</v>
      </c>
      <c r="D114" s="8">
        <v>1301</v>
      </c>
      <c r="E114" s="8"/>
      <c r="F114" s="8"/>
      <c r="G114" s="8"/>
      <c r="H114" s="8"/>
      <c r="I114" s="9">
        <f t="shared" si="6"/>
        <v>0</v>
      </c>
      <c r="J114" s="10">
        <f t="shared" si="7"/>
        <v>0</v>
      </c>
      <c r="K114" s="9">
        <f t="shared" si="8"/>
        <v>0</v>
      </c>
      <c r="L114" s="10">
        <f t="shared" si="9"/>
        <v>0</v>
      </c>
    </row>
    <row r="115" spans="1:12" x14ac:dyDescent="0.35">
      <c r="A115" t="s">
        <v>347</v>
      </c>
      <c r="D115" s="8">
        <v>1301</v>
      </c>
      <c r="E115" s="8"/>
      <c r="F115" s="8"/>
      <c r="G115" s="8"/>
      <c r="H115" s="8"/>
      <c r="I115" s="9">
        <f t="shared" si="6"/>
        <v>0</v>
      </c>
      <c r="J115" s="10">
        <f t="shared" si="7"/>
        <v>0</v>
      </c>
      <c r="K115" s="9">
        <f t="shared" si="8"/>
        <v>0</v>
      </c>
      <c r="L115" s="10">
        <f t="shared" si="9"/>
        <v>0</v>
      </c>
    </row>
    <row r="116" spans="1:12" x14ac:dyDescent="0.35">
      <c r="A116">
        <v>13</v>
      </c>
      <c r="B116" t="s">
        <v>224</v>
      </c>
      <c r="C116" t="s">
        <v>247</v>
      </c>
      <c r="D116" s="8">
        <v>667</v>
      </c>
      <c r="E116" s="8"/>
      <c r="F116" s="8"/>
      <c r="G116" s="8"/>
      <c r="H116" s="8"/>
      <c r="I116" s="9">
        <f t="shared" si="6"/>
        <v>0</v>
      </c>
      <c r="J116" s="10">
        <f t="shared" si="7"/>
        <v>0</v>
      </c>
      <c r="K116" s="9">
        <f t="shared" si="8"/>
        <v>0</v>
      </c>
      <c r="L116" s="10">
        <f t="shared" si="9"/>
        <v>0</v>
      </c>
    </row>
    <row r="117" spans="1:12" x14ac:dyDescent="0.35">
      <c r="A117">
        <v>13</v>
      </c>
      <c r="B117" t="s">
        <v>224</v>
      </c>
      <c r="C117" t="s">
        <v>257</v>
      </c>
      <c r="D117" s="8">
        <v>794</v>
      </c>
      <c r="E117" s="8"/>
      <c r="F117" s="8"/>
      <c r="G117" s="8"/>
      <c r="H117" s="8"/>
      <c r="I117" s="9">
        <f t="shared" si="6"/>
        <v>0</v>
      </c>
      <c r="J117" s="10">
        <f t="shared" si="7"/>
        <v>0</v>
      </c>
      <c r="K117" s="9">
        <f t="shared" si="8"/>
        <v>0</v>
      </c>
      <c r="L117" s="10">
        <f t="shared" si="9"/>
        <v>0</v>
      </c>
    </row>
    <row r="118" spans="1:12" x14ac:dyDescent="0.35">
      <c r="A118">
        <v>13</v>
      </c>
      <c r="B118" t="s">
        <v>224</v>
      </c>
      <c r="C118" t="s">
        <v>273</v>
      </c>
      <c r="D118" s="8">
        <v>795</v>
      </c>
      <c r="E118" s="8"/>
      <c r="F118" s="8"/>
      <c r="G118" s="8"/>
      <c r="H118" s="8"/>
      <c r="I118" s="9">
        <f t="shared" si="6"/>
        <v>0</v>
      </c>
      <c r="J118" s="10">
        <f t="shared" si="7"/>
        <v>0</v>
      </c>
      <c r="K118" s="9">
        <f t="shared" si="8"/>
        <v>0</v>
      </c>
      <c r="L118" s="10">
        <f t="shared" si="9"/>
        <v>0</v>
      </c>
    </row>
    <row r="119" spans="1:12" x14ac:dyDescent="0.35">
      <c r="A119">
        <v>13</v>
      </c>
      <c r="B119" t="s">
        <v>224</v>
      </c>
      <c r="C119" t="s">
        <v>315</v>
      </c>
      <c r="D119" s="8"/>
      <c r="E119" s="8">
        <v>815</v>
      </c>
      <c r="F119" s="8"/>
      <c r="G119" s="8"/>
      <c r="H119" s="8"/>
      <c r="I119" s="9">
        <f t="shared" si="6"/>
        <v>-1</v>
      </c>
      <c r="J119" s="10">
        <f t="shared" si="7"/>
        <v>-815</v>
      </c>
      <c r="K119" s="9">
        <f t="shared" si="8"/>
        <v>0</v>
      </c>
      <c r="L119" s="10">
        <f t="shared" si="9"/>
        <v>0</v>
      </c>
    </row>
    <row r="120" spans="1:12" x14ac:dyDescent="0.35">
      <c r="A120">
        <v>13</v>
      </c>
      <c r="B120" t="s">
        <v>224</v>
      </c>
      <c r="C120" t="s">
        <v>234</v>
      </c>
      <c r="D120" s="8">
        <v>794</v>
      </c>
      <c r="E120" s="8"/>
      <c r="F120" s="8"/>
      <c r="G120" s="8"/>
      <c r="H120" s="8"/>
      <c r="I120" s="9">
        <f t="shared" si="6"/>
        <v>0</v>
      </c>
      <c r="J120" s="10">
        <f t="shared" si="7"/>
        <v>0</v>
      </c>
      <c r="K120" s="9">
        <f t="shared" si="8"/>
        <v>0</v>
      </c>
      <c r="L120" s="10">
        <f t="shared" si="9"/>
        <v>0</v>
      </c>
    </row>
    <row r="121" spans="1:12" x14ac:dyDescent="0.35">
      <c r="A121">
        <v>13</v>
      </c>
      <c r="B121" t="s">
        <v>224</v>
      </c>
      <c r="C121" t="s">
        <v>316</v>
      </c>
      <c r="D121" s="8"/>
      <c r="E121" s="8">
        <v>812.5</v>
      </c>
      <c r="F121" s="8"/>
      <c r="G121" s="8"/>
      <c r="H121" s="8"/>
      <c r="I121" s="9">
        <f t="shared" si="6"/>
        <v>-1</v>
      </c>
      <c r="J121" s="10">
        <f t="shared" si="7"/>
        <v>-812.5</v>
      </c>
      <c r="K121" s="9">
        <f t="shared" si="8"/>
        <v>0</v>
      </c>
      <c r="L121" s="10">
        <f t="shared" si="9"/>
        <v>0</v>
      </c>
    </row>
    <row r="122" spans="1:12" x14ac:dyDescent="0.35">
      <c r="A122">
        <v>13</v>
      </c>
      <c r="B122" t="s">
        <v>224</v>
      </c>
      <c r="C122" t="s">
        <v>225</v>
      </c>
      <c r="D122" s="8">
        <v>789</v>
      </c>
      <c r="E122" s="8"/>
      <c r="F122" s="8"/>
      <c r="G122" s="8"/>
      <c r="H122" s="8"/>
      <c r="I122" s="9">
        <f t="shared" si="6"/>
        <v>0</v>
      </c>
      <c r="J122" s="10">
        <f t="shared" si="7"/>
        <v>0</v>
      </c>
      <c r="K122" s="9">
        <f t="shared" si="8"/>
        <v>0</v>
      </c>
      <c r="L122" s="10">
        <f t="shared" si="9"/>
        <v>0</v>
      </c>
    </row>
    <row r="123" spans="1:12" x14ac:dyDescent="0.35">
      <c r="A123">
        <v>13</v>
      </c>
      <c r="B123" t="s">
        <v>224</v>
      </c>
      <c r="C123" t="s">
        <v>269</v>
      </c>
      <c r="D123" s="8">
        <v>779</v>
      </c>
      <c r="E123" s="8">
        <v>793</v>
      </c>
      <c r="F123" s="8"/>
      <c r="G123" s="8"/>
      <c r="H123" s="8"/>
      <c r="I123" s="9">
        <f t="shared" si="6"/>
        <v>-1.7654476670870167E-2</v>
      </c>
      <c r="J123" s="10">
        <f t="shared" si="7"/>
        <v>-14</v>
      </c>
      <c r="K123" s="9">
        <f t="shared" si="8"/>
        <v>0</v>
      </c>
      <c r="L123" s="10">
        <f t="shared" si="9"/>
        <v>0</v>
      </c>
    </row>
    <row r="124" spans="1:12" x14ac:dyDescent="0.35">
      <c r="A124">
        <v>13</v>
      </c>
      <c r="B124" t="s">
        <v>224</v>
      </c>
      <c r="C124" t="s">
        <v>359</v>
      </c>
      <c r="D124" s="8"/>
      <c r="E124" s="8">
        <v>0</v>
      </c>
      <c r="F124" s="8"/>
      <c r="G124" s="8"/>
      <c r="H124" s="8"/>
      <c r="I124" s="9">
        <f t="shared" si="6"/>
        <v>0</v>
      </c>
      <c r="J124" s="10">
        <f t="shared" si="7"/>
        <v>0</v>
      </c>
      <c r="K124" s="9">
        <f t="shared" si="8"/>
        <v>0</v>
      </c>
      <c r="L124" s="10">
        <f t="shared" si="9"/>
        <v>0</v>
      </c>
    </row>
    <row r="125" spans="1:12" x14ac:dyDescent="0.35">
      <c r="A125" t="s">
        <v>348</v>
      </c>
      <c r="D125" s="8">
        <v>773.25</v>
      </c>
      <c r="E125" s="8">
        <v>605.125</v>
      </c>
      <c r="F125" s="8"/>
      <c r="G125" s="8"/>
      <c r="H125" s="8"/>
      <c r="I125" s="9">
        <f t="shared" si="6"/>
        <v>0.27783515802520142</v>
      </c>
      <c r="J125" s="10">
        <f t="shared" si="7"/>
        <v>168.125</v>
      </c>
      <c r="K125" s="9">
        <f t="shared" si="8"/>
        <v>0</v>
      </c>
      <c r="L125" s="10">
        <f t="shared" si="9"/>
        <v>0</v>
      </c>
    </row>
    <row r="126" spans="1:12" x14ac:dyDescent="0.35">
      <c r="A126">
        <v>14</v>
      </c>
      <c r="B126" t="s">
        <v>182</v>
      </c>
      <c r="C126" t="s">
        <v>311</v>
      </c>
      <c r="D126" s="8"/>
      <c r="E126" s="8">
        <v>0</v>
      </c>
      <c r="F126" s="8"/>
      <c r="G126" s="8">
        <v>855</v>
      </c>
      <c r="H126" s="8"/>
      <c r="I126" s="9">
        <f t="shared" si="6"/>
        <v>0</v>
      </c>
      <c r="J126" s="10">
        <f t="shared" si="7"/>
        <v>0</v>
      </c>
      <c r="K126" s="9">
        <f t="shared" si="8"/>
        <v>0</v>
      </c>
      <c r="L126" s="10">
        <f t="shared" si="9"/>
        <v>0</v>
      </c>
    </row>
    <row r="127" spans="1:12" x14ac:dyDescent="0.35">
      <c r="A127">
        <v>14</v>
      </c>
      <c r="B127" t="s">
        <v>182</v>
      </c>
      <c r="C127" t="s">
        <v>183</v>
      </c>
      <c r="D127" s="8">
        <v>840</v>
      </c>
      <c r="E127" s="8">
        <v>830</v>
      </c>
      <c r="F127" s="8"/>
      <c r="G127" s="8"/>
      <c r="H127" s="8"/>
      <c r="I127" s="9">
        <f t="shared" si="6"/>
        <v>1.2048192771084265E-2</v>
      </c>
      <c r="J127" s="10">
        <f t="shared" si="7"/>
        <v>10</v>
      </c>
      <c r="K127" s="9">
        <f t="shared" si="8"/>
        <v>0</v>
      </c>
      <c r="L127" s="10">
        <f t="shared" si="9"/>
        <v>0</v>
      </c>
    </row>
    <row r="128" spans="1:12" x14ac:dyDescent="0.35">
      <c r="A128" t="s">
        <v>349</v>
      </c>
      <c r="D128" s="8">
        <v>840</v>
      </c>
      <c r="E128" s="8">
        <v>415</v>
      </c>
      <c r="F128" s="8"/>
      <c r="G128" s="8">
        <v>855</v>
      </c>
      <c r="H128" s="8"/>
      <c r="I128" s="9">
        <f t="shared" si="6"/>
        <v>1.0240963855421685</v>
      </c>
      <c r="J128" s="10">
        <f t="shared" si="7"/>
        <v>425</v>
      </c>
      <c r="K128" s="9">
        <f t="shared" si="8"/>
        <v>0</v>
      </c>
      <c r="L128" s="10">
        <f t="shared" si="9"/>
        <v>0</v>
      </c>
    </row>
    <row r="129" spans="1:12" x14ac:dyDescent="0.35">
      <c r="A129">
        <v>15</v>
      </c>
      <c r="B129" t="s">
        <v>28</v>
      </c>
      <c r="C129" t="s">
        <v>29</v>
      </c>
      <c r="D129" s="8">
        <v>870</v>
      </c>
      <c r="E129" s="8">
        <v>900</v>
      </c>
      <c r="F129" s="8"/>
      <c r="G129" s="8"/>
      <c r="H129" s="8"/>
      <c r="I129" s="9">
        <f t="shared" si="6"/>
        <v>-3.3333333333333326E-2</v>
      </c>
      <c r="J129" s="10">
        <f t="shared" si="7"/>
        <v>-30</v>
      </c>
      <c r="K129" s="9">
        <f t="shared" si="8"/>
        <v>0</v>
      </c>
      <c r="L129" s="10">
        <f t="shared" si="9"/>
        <v>0</v>
      </c>
    </row>
    <row r="130" spans="1:12" x14ac:dyDescent="0.35">
      <c r="A130" t="s">
        <v>350</v>
      </c>
      <c r="D130" s="8">
        <v>870</v>
      </c>
      <c r="E130" s="8">
        <v>900</v>
      </c>
      <c r="F130" s="8"/>
      <c r="G130" s="8"/>
      <c r="H130" s="8"/>
      <c r="I130" s="9">
        <f t="shared" si="6"/>
        <v>-3.3333333333333326E-2</v>
      </c>
      <c r="J130" s="10">
        <f t="shared" si="7"/>
        <v>-30</v>
      </c>
      <c r="K130" s="9">
        <f t="shared" si="8"/>
        <v>0</v>
      </c>
      <c r="L130" s="10">
        <f t="shared" si="9"/>
        <v>0</v>
      </c>
    </row>
    <row r="131" spans="1:12" x14ac:dyDescent="0.35">
      <c r="A131">
        <v>16</v>
      </c>
      <c r="B131" t="s">
        <v>117</v>
      </c>
      <c r="C131" t="s">
        <v>135</v>
      </c>
      <c r="D131" s="8">
        <v>780</v>
      </c>
      <c r="E131" s="8"/>
      <c r="F131" s="8"/>
      <c r="G131" s="8"/>
      <c r="H131" s="8"/>
      <c r="I131" s="9">
        <f t="shared" si="6"/>
        <v>0</v>
      </c>
      <c r="J131" s="10">
        <f t="shared" si="7"/>
        <v>0</v>
      </c>
      <c r="K131" s="9">
        <f t="shared" si="8"/>
        <v>0</v>
      </c>
      <c r="L131" s="10">
        <f t="shared" si="9"/>
        <v>0</v>
      </c>
    </row>
    <row r="132" spans="1:12" x14ac:dyDescent="0.35">
      <c r="A132">
        <v>16</v>
      </c>
      <c r="B132" t="s">
        <v>117</v>
      </c>
      <c r="C132" t="s">
        <v>317</v>
      </c>
      <c r="D132" s="8"/>
      <c r="E132" s="8">
        <v>810</v>
      </c>
      <c r="F132" s="8"/>
      <c r="G132" s="8"/>
      <c r="H132" s="8"/>
      <c r="I132" s="9">
        <f t="shared" si="6"/>
        <v>-1</v>
      </c>
      <c r="J132" s="10">
        <f t="shared" si="7"/>
        <v>-810</v>
      </c>
      <c r="K132" s="9">
        <f t="shared" si="8"/>
        <v>0</v>
      </c>
      <c r="L132" s="10">
        <f t="shared" si="9"/>
        <v>0</v>
      </c>
    </row>
    <row r="133" spans="1:12" x14ac:dyDescent="0.35">
      <c r="A133">
        <v>16</v>
      </c>
      <c r="B133" t="s">
        <v>117</v>
      </c>
      <c r="C133" t="s">
        <v>118</v>
      </c>
      <c r="D133" s="8">
        <v>780</v>
      </c>
      <c r="E133" s="8">
        <v>719</v>
      </c>
      <c r="F133" s="8">
        <v>862</v>
      </c>
      <c r="G133" s="8"/>
      <c r="H133" s="8"/>
      <c r="I133" s="9"/>
      <c r="J133" s="10"/>
    </row>
    <row r="134" spans="1:12" x14ac:dyDescent="0.35">
      <c r="A134" t="s">
        <v>351</v>
      </c>
      <c r="D134" s="8">
        <v>780</v>
      </c>
      <c r="E134" s="8">
        <v>764.5</v>
      </c>
      <c r="F134" s="8">
        <v>862</v>
      </c>
      <c r="G134" s="8"/>
      <c r="H134" s="8"/>
    </row>
    <row r="135" spans="1:12" x14ac:dyDescent="0.35">
      <c r="A135" t="s">
        <v>334</v>
      </c>
      <c r="D135" s="8">
        <v>818.88732394366195</v>
      </c>
      <c r="E135" s="8">
        <v>646.51470588235293</v>
      </c>
      <c r="F135" s="8">
        <v>535.6</v>
      </c>
      <c r="G135" s="8">
        <v>855</v>
      </c>
      <c r="H135" s="8">
        <v>1170</v>
      </c>
    </row>
    <row r="141" spans="1:12" x14ac:dyDescent="0.35">
      <c r="A141" t="s">
        <v>330</v>
      </c>
      <c r="C141" t="s">
        <v>4</v>
      </c>
    </row>
    <row r="142" spans="1:12" x14ac:dyDescent="0.35">
      <c r="A142" t="s">
        <v>1</v>
      </c>
      <c r="B142" t="s">
        <v>3</v>
      </c>
      <c r="C142" t="s">
        <v>20</v>
      </c>
      <c r="D142" t="s">
        <v>306</v>
      </c>
      <c r="E142" t="s">
        <v>309</v>
      </c>
      <c r="F142" t="s">
        <v>310</v>
      </c>
      <c r="G142" t="s">
        <v>303</v>
      </c>
      <c r="H142" t="s">
        <v>331</v>
      </c>
      <c r="I142" t="s">
        <v>332</v>
      </c>
      <c r="J142" t="s">
        <v>335</v>
      </c>
      <c r="K142" t="s">
        <v>336</v>
      </c>
    </row>
    <row r="143" spans="1:12" x14ac:dyDescent="0.35">
      <c r="A143" t="s">
        <v>27</v>
      </c>
      <c r="B143">
        <v>1</v>
      </c>
      <c r="C143" s="8">
        <v>819</v>
      </c>
      <c r="D143" s="8"/>
      <c r="E143" s="8"/>
      <c r="F143" s="8"/>
      <c r="G143" s="8"/>
      <c r="H143" s="9">
        <f>+IFERROR(C143/D143-1,0)</f>
        <v>0</v>
      </c>
      <c r="I143" s="10">
        <f>+IF(D143&lt;&gt;0,C143-D143,0)</f>
        <v>0</v>
      </c>
      <c r="J143" s="9">
        <f>+IFERROR(C143/E143-1,0)</f>
        <v>0</v>
      </c>
      <c r="K143" s="10">
        <f>+IF(E143&lt;&gt;0,C143-E143,0)</f>
        <v>0</v>
      </c>
    </row>
    <row r="144" spans="1:12" x14ac:dyDescent="0.35">
      <c r="A144" t="s">
        <v>27</v>
      </c>
      <c r="B144">
        <v>2</v>
      </c>
      <c r="C144" s="8">
        <v>872.5</v>
      </c>
      <c r="D144" s="8"/>
      <c r="E144" s="8"/>
      <c r="F144" s="8"/>
      <c r="G144" s="8"/>
      <c r="H144" s="9">
        <f t="shared" ref="H144:H160" si="10">+IFERROR(C144/D144-1,0)</f>
        <v>0</v>
      </c>
      <c r="I144" s="10">
        <f t="shared" ref="I144:I159" si="11">+IF(D144&lt;&gt;0,C144-D144,0)</f>
        <v>0</v>
      </c>
      <c r="J144" s="9">
        <f t="shared" ref="J144:J160" si="12">+IFERROR(C144/E144-1,0)</f>
        <v>0</v>
      </c>
      <c r="K144" s="10">
        <f t="shared" ref="K144:K160" si="13">+IF(E144&lt;&gt;0,C144-E144,0)</f>
        <v>0</v>
      </c>
    </row>
    <row r="145" spans="1:11" x14ac:dyDescent="0.35">
      <c r="A145" t="s">
        <v>27</v>
      </c>
      <c r="B145">
        <v>3</v>
      </c>
      <c r="C145" s="8">
        <v>844</v>
      </c>
      <c r="D145" s="8">
        <v>905</v>
      </c>
      <c r="E145" s="8"/>
      <c r="F145" s="8"/>
      <c r="G145" s="8"/>
      <c r="H145" s="9">
        <f t="shared" si="10"/>
        <v>-6.7403314917127033E-2</v>
      </c>
      <c r="I145" s="10">
        <f t="shared" si="11"/>
        <v>-61</v>
      </c>
      <c r="J145" s="9">
        <f t="shared" si="12"/>
        <v>0</v>
      </c>
      <c r="K145" s="10">
        <f t="shared" si="13"/>
        <v>0</v>
      </c>
    </row>
    <row r="146" spans="1:11" x14ac:dyDescent="0.35">
      <c r="A146" t="s">
        <v>27</v>
      </c>
      <c r="B146">
        <v>4</v>
      </c>
      <c r="C146" s="8">
        <v>807.5</v>
      </c>
      <c r="D146" s="8">
        <v>837</v>
      </c>
      <c r="E146" s="8"/>
      <c r="F146" s="8"/>
      <c r="G146" s="8"/>
      <c r="H146" s="9">
        <f t="shared" si="10"/>
        <v>-3.5244922341696516E-2</v>
      </c>
      <c r="I146" s="10">
        <f t="shared" si="11"/>
        <v>-29.5</v>
      </c>
      <c r="J146" s="9">
        <f t="shared" si="12"/>
        <v>0</v>
      </c>
      <c r="K146" s="10">
        <f t="shared" si="13"/>
        <v>0</v>
      </c>
    </row>
    <row r="147" spans="1:11" x14ac:dyDescent="0.35">
      <c r="A147" t="s">
        <v>27</v>
      </c>
      <c r="B147">
        <v>15</v>
      </c>
      <c r="C147" s="8">
        <v>870</v>
      </c>
      <c r="D147" s="8">
        <v>900</v>
      </c>
      <c r="E147" s="8"/>
      <c r="F147" s="8"/>
      <c r="G147" s="8"/>
      <c r="H147" s="9">
        <f t="shared" si="10"/>
        <v>-3.3333333333333326E-2</v>
      </c>
      <c r="I147" s="10">
        <f t="shared" si="11"/>
        <v>-30</v>
      </c>
      <c r="J147" s="9">
        <f t="shared" si="12"/>
        <v>0</v>
      </c>
      <c r="K147" s="10">
        <f t="shared" si="13"/>
        <v>0</v>
      </c>
    </row>
    <row r="148" spans="1:11" x14ac:dyDescent="0.35">
      <c r="A148" t="s">
        <v>352</v>
      </c>
      <c r="C148" s="8">
        <v>843.28571428571433</v>
      </c>
      <c r="D148" s="8">
        <v>880.66666666666663</v>
      </c>
      <c r="E148" s="8"/>
      <c r="F148" s="8"/>
      <c r="G148" s="8"/>
      <c r="H148" s="16">
        <f t="shared" si="10"/>
        <v>-4.2446198767167598E-2</v>
      </c>
      <c r="I148" s="17">
        <f t="shared" si="11"/>
        <v>-37.380952380952294</v>
      </c>
      <c r="J148" s="16">
        <f t="shared" si="12"/>
        <v>0</v>
      </c>
      <c r="K148" s="17">
        <f t="shared" si="13"/>
        <v>0</v>
      </c>
    </row>
    <row r="149" spans="1:11" x14ac:dyDescent="0.35">
      <c r="A149" t="s">
        <v>87</v>
      </c>
      <c r="B149">
        <v>5</v>
      </c>
      <c r="C149" s="8">
        <v>787.6</v>
      </c>
      <c r="D149" s="8">
        <v>789.75</v>
      </c>
      <c r="E149" s="8">
        <v>864</v>
      </c>
      <c r="F149" s="8"/>
      <c r="G149" s="8"/>
      <c r="H149" s="9">
        <f t="shared" si="10"/>
        <v>-2.7223805001582724E-3</v>
      </c>
      <c r="I149" s="10">
        <f t="shared" si="11"/>
        <v>-2.1499999999999773</v>
      </c>
      <c r="J149" s="9">
        <f t="shared" si="12"/>
        <v>-8.8425925925925908E-2</v>
      </c>
      <c r="K149" s="10">
        <f t="shared" si="13"/>
        <v>-76.399999999999977</v>
      </c>
    </row>
    <row r="150" spans="1:11" x14ac:dyDescent="0.35">
      <c r="A150" t="s">
        <v>87</v>
      </c>
      <c r="B150">
        <v>6</v>
      </c>
      <c r="C150" s="8">
        <v>777.2</v>
      </c>
      <c r="D150" s="8">
        <v>777</v>
      </c>
      <c r="E150" s="8"/>
      <c r="F150" s="8"/>
      <c r="G150" s="8"/>
      <c r="H150" s="9">
        <f t="shared" si="10"/>
        <v>2.5740025740028649E-4</v>
      </c>
      <c r="I150" s="10">
        <f t="shared" si="11"/>
        <v>0.20000000000004547</v>
      </c>
      <c r="J150" s="9">
        <f t="shared" si="12"/>
        <v>0</v>
      </c>
      <c r="K150" s="10">
        <f t="shared" si="13"/>
        <v>0</v>
      </c>
    </row>
    <row r="151" spans="1:11" x14ac:dyDescent="0.35">
      <c r="A151" t="s">
        <v>87</v>
      </c>
      <c r="B151">
        <v>7</v>
      </c>
      <c r="C151" s="8">
        <v>776.11111111111109</v>
      </c>
      <c r="D151" s="8">
        <v>769.33333333333337</v>
      </c>
      <c r="E151" s="8"/>
      <c r="F151" s="8"/>
      <c r="G151" s="8"/>
      <c r="H151" s="9">
        <f t="shared" si="10"/>
        <v>8.8099364529172774E-3</v>
      </c>
      <c r="I151" s="10">
        <f t="shared" si="11"/>
        <v>6.7777777777777146</v>
      </c>
      <c r="J151" s="9">
        <f t="shared" si="12"/>
        <v>0</v>
      </c>
      <c r="K151" s="10">
        <f t="shared" si="13"/>
        <v>0</v>
      </c>
    </row>
    <row r="152" spans="1:11" x14ac:dyDescent="0.35">
      <c r="A152" t="s">
        <v>87</v>
      </c>
      <c r="B152">
        <v>13</v>
      </c>
      <c r="C152" s="8">
        <v>773.25</v>
      </c>
      <c r="D152" s="8">
        <v>806.83333333333337</v>
      </c>
      <c r="E152" s="8"/>
      <c r="F152" s="8"/>
      <c r="G152" s="8"/>
      <c r="H152" s="9">
        <f t="shared" si="10"/>
        <v>-4.1623631481099044E-2</v>
      </c>
      <c r="I152" s="10">
        <f t="shared" si="11"/>
        <v>-33.583333333333371</v>
      </c>
      <c r="J152" s="9">
        <f t="shared" si="12"/>
        <v>0</v>
      </c>
      <c r="K152" s="10">
        <f t="shared" si="13"/>
        <v>0</v>
      </c>
    </row>
    <row r="153" spans="1:11" x14ac:dyDescent="0.35">
      <c r="A153" t="s">
        <v>87</v>
      </c>
      <c r="B153">
        <v>16</v>
      </c>
      <c r="C153" s="8">
        <v>780</v>
      </c>
      <c r="D153" s="8">
        <v>764.5</v>
      </c>
      <c r="E153" s="8">
        <v>862</v>
      </c>
      <c r="F153" s="8"/>
      <c r="G153" s="8"/>
      <c r="H153" s="9">
        <f t="shared" si="10"/>
        <v>2.0274689339437435E-2</v>
      </c>
      <c r="I153" s="10">
        <f t="shared" si="11"/>
        <v>15.5</v>
      </c>
      <c r="J153" s="9">
        <f t="shared" si="12"/>
        <v>-9.512761020881666E-2</v>
      </c>
      <c r="K153" s="10">
        <f t="shared" si="13"/>
        <v>-82</v>
      </c>
    </row>
    <row r="154" spans="1:11" x14ac:dyDescent="0.35">
      <c r="A154" t="s">
        <v>353</v>
      </c>
      <c r="C154" s="8">
        <v>777.83333333333337</v>
      </c>
      <c r="D154" s="8">
        <v>784.11538461538464</v>
      </c>
      <c r="E154" s="8">
        <v>863</v>
      </c>
      <c r="F154" s="8"/>
      <c r="G154" s="8"/>
      <c r="H154" s="16">
        <f t="shared" si="10"/>
        <v>-8.0116414054708374E-3</v>
      </c>
      <c r="I154" s="17">
        <f t="shared" si="11"/>
        <v>-6.2820512820512704</v>
      </c>
      <c r="J154" s="16">
        <f t="shared" si="12"/>
        <v>-9.8686751641560377E-2</v>
      </c>
      <c r="K154" s="17">
        <f t="shared" si="13"/>
        <v>-85.166666666666629</v>
      </c>
    </row>
    <row r="155" spans="1:11" x14ac:dyDescent="0.35">
      <c r="A155" t="s">
        <v>128</v>
      </c>
      <c r="B155">
        <v>8</v>
      </c>
      <c r="C155" s="8">
        <v>808.85714285714289</v>
      </c>
      <c r="D155" s="8">
        <v>835</v>
      </c>
      <c r="E155" s="8"/>
      <c r="F155" s="8"/>
      <c r="G155" s="8"/>
      <c r="H155" s="9">
        <f t="shared" si="10"/>
        <v>-3.130881094952942E-2</v>
      </c>
      <c r="I155" s="10">
        <f t="shared" si="11"/>
        <v>-26.14285714285711</v>
      </c>
      <c r="J155" s="9">
        <f t="shared" si="12"/>
        <v>0</v>
      </c>
      <c r="K155" s="10">
        <f t="shared" si="13"/>
        <v>0</v>
      </c>
    </row>
    <row r="156" spans="1:11" x14ac:dyDescent="0.35">
      <c r="A156" t="s">
        <v>128</v>
      </c>
      <c r="B156">
        <v>9</v>
      </c>
      <c r="C156" s="8">
        <v>819.6</v>
      </c>
      <c r="D156" s="8">
        <v>822</v>
      </c>
      <c r="E156" s="8"/>
      <c r="F156" s="8"/>
      <c r="G156" s="8">
        <v>1170</v>
      </c>
      <c r="H156" s="9">
        <f t="shared" si="10"/>
        <v>-2.9197080291970545E-3</v>
      </c>
      <c r="I156" s="10">
        <f t="shared" si="11"/>
        <v>-2.3999999999999773</v>
      </c>
      <c r="J156" s="9">
        <f t="shared" si="12"/>
        <v>0</v>
      </c>
      <c r="K156" s="10">
        <f t="shared" si="13"/>
        <v>0</v>
      </c>
    </row>
    <row r="157" spans="1:11" x14ac:dyDescent="0.35">
      <c r="A157" t="s">
        <v>128</v>
      </c>
      <c r="B157">
        <v>10</v>
      </c>
      <c r="C157" s="8">
        <v>866</v>
      </c>
      <c r="D157" s="8">
        <v>900</v>
      </c>
      <c r="E157" s="8">
        <v>952</v>
      </c>
      <c r="F157" s="8"/>
      <c r="G157" s="8"/>
      <c r="H157" s="9">
        <f t="shared" si="10"/>
        <v>-3.7777777777777799E-2</v>
      </c>
      <c r="I157" s="10">
        <f t="shared" si="11"/>
        <v>-34</v>
      </c>
      <c r="J157" s="9">
        <f t="shared" si="12"/>
        <v>-9.0336134453781525E-2</v>
      </c>
      <c r="K157" s="10">
        <f t="shared" si="13"/>
        <v>-86</v>
      </c>
    </row>
    <row r="158" spans="1:11" x14ac:dyDescent="0.35">
      <c r="A158" t="s">
        <v>128</v>
      </c>
      <c r="B158">
        <v>14</v>
      </c>
      <c r="C158" s="8">
        <v>840</v>
      </c>
      <c r="D158" s="8">
        <v>830</v>
      </c>
      <c r="E158" s="8"/>
      <c r="F158" s="8">
        <v>855</v>
      </c>
      <c r="G158" s="8"/>
      <c r="H158" s="9">
        <f t="shared" si="10"/>
        <v>1.2048192771084265E-2</v>
      </c>
      <c r="I158" s="10">
        <f t="shared" si="11"/>
        <v>10</v>
      </c>
      <c r="J158" s="9">
        <f t="shared" si="12"/>
        <v>0</v>
      </c>
      <c r="K158" s="10">
        <f t="shared" si="13"/>
        <v>0</v>
      </c>
    </row>
    <row r="159" spans="1:11" x14ac:dyDescent="0.35">
      <c r="A159" t="s">
        <v>354</v>
      </c>
      <c r="C159" s="8">
        <v>831.36842105263156</v>
      </c>
      <c r="D159" s="8">
        <v>846.75</v>
      </c>
      <c r="E159" s="8">
        <v>952</v>
      </c>
      <c r="F159" s="8">
        <v>855</v>
      </c>
      <c r="G159" s="8">
        <v>1170</v>
      </c>
      <c r="H159" s="9">
        <f t="shared" si="10"/>
        <v>-1.8165431293024392E-2</v>
      </c>
      <c r="I159" s="10">
        <f t="shared" si="11"/>
        <v>-15.381578947368439</v>
      </c>
      <c r="J159" s="9">
        <f t="shared" si="12"/>
        <v>-0.12671384343210967</v>
      </c>
      <c r="K159" s="10">
        <f t="shared" si="13"/>
        <v>-120.63157894736844</v>
      </c>
    </row>
    <row r="160" spans="1:11" x14ac:dyDescent="0.35">
      <c r="A160" t="s">
        <v>334</v>
      </c>
      <c r="C160" s="8">
        <v>812</v>
      </c>
      <c r="D160" s="8">
        <v>811.125</v>
      </c>
      <c r="E160" s="8">
        <v>892.66666666666663</v>
      </c>
      <c r="F160" s="8">
        <v>855</v>
      </c>
      <c r="G160" s="8">
        <v>1170</v>
      </c>
      <c r="H160" s="16">
        <f t="shared" si="10"/>
        <v>1.0787486515642097E-3</v>
      </c>
      <c r="I160" s="17">
        <f>+IF(D160&lt;&gt;0,C160-D160,0)</f>
        <v>0.875</v>
      </c>
      <c r="J160" s="16">
        <f t="shared" si="12"/>
        <v>-9.0365944734876691E-2</v>
      </c>
      <c r="K160" s="17">
        <f t="shared" si="13"/>
        <v>-80.666666666666629</v>
      </c>
    </row>
    <row r="161" spans="8:11" x14ac:dyDescent="0.35">
      <c r="H161" s="16"/>
      <c r="I161" s="17"/>
      <c r="J161" s="16"/>
      <c r="K161" s="17"/>
    </row>
  </sheetData>
  <conditionalFormatting sqref="H6:H21">
    <cfRule type="cellIs" dxfId="25" priority="19" operator="lessThan">
      <formula>0</formula>
    </cfRule>
    <cfRule type="cellIs" dxfId="24" priority="20" operator="greaterThan">
      <formula>0</formula>
    </cfRule>
  </conditionalFormatting>
  <conditionalFormatting sqref="I6:I21">
    <cfRule type="cellIs" dxfId="23" priority="17" operator="lessThan">
      <formula>0</formula>
    </cfRule>
    <cfRule type="cellIs" dxfId="22" priority="18" operator="greaterThan">
      <formula>0</formula>
    </cfRule>
  </conditionalFormatting>
  <conditionalFormatting sqref="I47:I133">
    <cfRule type="cellIs" dxfId="21" priority="15" operator="lessThan">
      <formula>0</formula>
    </cfRule>
    <cfRule type="cellIs" dxfId="20" priority="16" operator="greaterThan">
      <formula>0</formula>
    </cfRule>
  </conditionalFormatting>
  <conditionalFormatting sqref="J47:J133">
    <cfRule type="cellIs" dxfId="19" priority="13" operator="lessThan">
      <formula>0</formula>
    </cfRule>
    <cfRule type="cellIs" dxfId="18" priority="14" operator="greaterThan">
      <formula>0</formula>
    </cfRule>
  </conditionalFormatting>
  <conditionalFormatting sqref="K47:K132">
    <cfRule type="cellIs" dxfId="17" priority="11" operator="lessThan">
      <formula>0</formula>
    </cfRule>
    <cfRule type="cellIs" dxfId="16" priority="12" operator="greaterThan">
      <formula>0</formula>
    </cfRule>
  </conditionalFormatting>
  <conditionalFormatting sqref="L47:L132">
    <cfRule type="cellIs" dxfId="15" priority="9" operator="lessThan">
      <formula>0</formula>
    </cfRule>
    <cfRule type="cellIs" dxfId="14" priority="10" operator="greaterThan">
      <formula>0</formula>
    </cfRule>
  </conditionalFormatting>
  <conditionalFormatting sqref="H143:H161">
    <cfRule type="cellIs" dxfId="13" priority="7" operator="lessThan">
      <formula>0</formula>
    </cfRule>
    <cfRule type="cellIs" dxfId="12" priority="8" operator="greaterThan">
      <formula>0</formula>
    </cfRule>
  </conditionalFormatting>
  <conditionalFormatting sqref="I143:I161"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J143:J161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K143:K161">
    <cfRule type="cellIs" dxfId="7" priority="1" operator="lessThan">
      <formula>0</formula>
    </cfRule>
    <cfRule type="cellIs" dxfId="6" priority="2" operator="greaterThan">
      <formula>0</formula>
    </cfRule>
  </conditionalFormatting>
  <hyperlinks>
    <hyperlink ref="A1" location="'Analisis final'!A4" display="Comparativo precios por Región" xr:uid="{F6578D03-9975-43FB-B54C-44932CD03A92}"/>
    <hyperlink ref="C1" location="'Analisis final'!A67" display="Comparativo precios por Comuna" xr:uid="{8952DADA-DF7A-4101-B049-3B36E1C572FC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618A-D276-4C28-8B45-A967EFA07918}">
  <sheetPr>
    <tabColor theme="9"/>
  </sheetPr>
  <dimension ref="A1:U113"/>
  <sheetViews>
    <sheetView tabSelected="1" workbookViewId="0">
      <pane ySplit="1" topLeftCell="A2" activePane="bottomLeft" state="frozen"/>
      <selection activeCell="M1" sqref="M1"/>
      <selection pane="bottomLeft" activeCell="G18" sqref="G18"/>
    </sheetView>
  </sheetViews>
  <sheetFormatPr baseColWidth="10" defaultRowHeight="15.5" x14ac:dyDescent="0.35"/>
  <cols>
    <col min="3" max="3" width="10.6640625" style="22"/>
    <col min="4" max="4" width="14.5" style="1" bestFit="1" customWidth="1"/>
    <col min="5" max="6" width="12.1640625" style="1" customWidth="1"/>
    <col min="7" max="7" width="24.75" style="1" bestFit="1" customWidth="1"/>
    <col min="8" max="8" width="11.83203125" customWidth="1"/>
    <col min="9" max="9" width="21.58203125" bestFit="1" customWidth="1"/>
    <col min="10" max="10" width="13.6640625" bestFit="1" customWidth="1"/>
    <col min="11" max="11" width="33.58203125" bestFit="1" customWidth="1"/>
    <col min="12" max="12" width="12.4140625" bestFit="1" customWidth="1"/>
    <col min="13" max="13" width="21" bestFit="1" customWidth="1"/>
    <col min="14" max="14" width="18.83203125" bestFit="1" customWidth="1"/>
    <col min="15" max="15" width="22" bestFit="1" customWidth="1"/>
    <col min="16" max="16" width="16.58203125" bestFit="1" customWidth="1"/>
    <col min="17" max="17" width="18.75" bestFit="1" customWidth="1"/>
    <col min="18" max="18" width="7.83203125" bestFit="1" customWidth="1"/>
    <col min="19" max="19" width="25.75" customWidth="1"/>
    <col min="20" max="20" width="22.25" bestFit="1" customWidth="1"/>
    <col min="21" max="21" width="11.25" customWidth="1"/>
  </cols>
  <sheetData>
    <row r="1" spans="1:21" x14ac:dyDescent="0.35">
      <c r="A1" t="s">
        <v>355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35">
      <c r="A2" t="s">
        <v>356</v>
      </c>
      <c r="B2">
        <v>202606</v>
      </c>
      <c r="C2" s="1" t="s">
        <v>27</v>
      </c>
      <c r="D2" s="1" t="s">
        <v>33</v>
      </c>
      <c r="E2" s="1">
        <v>1</v>
      </c>
      <c r="F2" s="1" t="s">
        <v>20</v>
      </c>
      <c r="G2" s="1" t="s">
        <v>22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4">
        <v>680</v>
      </c>
      <c r="O2" s="4">
        <v>242</v>
      </c>
      <c r="P2" s="4">
        <v>0</v>
      </c>
      <c r="Q2" s="4">
        <v>88.5</v>
      </c>
      <c r="R2" s="4">
        <v>349.5</v>
      </c>
      <c r="S2" s="21">
        <v>786</v>
      </c>
      <c r="T2" s="4">
        <v>660.5</v>
      </c>
      <c r="U2" s="4">
        <v>-19.5</v>
      </c>
    </row>
    <row r="3" spans="1:21" x14ac:dyDescent="0.35">
      <c r="A3" t="s">
        <v>356</v>
      </c>
      <c r="B3">
        <v>202606</v>
      </c>
      <c r="C3" s="1" t="s">
        <v>27</v>
      </c>
      <c r="D3" s="1" t="s">
        <v>28</v>
      </c>
      <c r="E3" s="1">
        <v>15</v>
      </c>
      <c r="F3" s="1" t="s">
        <v>20</v>
      </c>
      <c r="G3" s="1" t="s">
        <v>29</v>
      </c>
      <c r="H3" s="3" t="s">
        <v>30</v>
      </c>
      <c r="I3" s="3" t="s">
        <v>29</v>
      </c>
      <c r="J3" s="3" t="s">
        <v>31</v>
      </c>
      <c r="K3" s="3" t="s">
        <v>32</v>
      </c>
      <c r="L3" s="3" t="s">
        <v>25</v>
      </c>
      <c r="M3" s="3" t="s">
        <v>26</v>
      </c>
      <c r="N3" s="4">
        <v>701</v>
      </c>
      <c r="O3" s="4">
        <v>242</v>
      </c>
      <c r="P3" s="4">
        <v>0</v>
      </c>
      <c r="Q3" s="4">
        <v>368.49</v>
      </c>
      <c r="R3" s="4">
        <v>90.51</v>
      </c>
      <c r="S3" s="21">
        <v>870</v>
      </c>
      <c r="T3" s="4">
        <v>731.09</v>
      </c>
      <c r="U3" s="4">
        <v>30.09</v>
      </c>
    </row>
    <row r="4" spans="1:21" x14ac:dyDescent="0.35">
      <c r="A4" t="s">
        <v>356</v>
      </c>
      <c r="B4">
        <v>202606</v>
      </c>
      <c r="C4" s="1" t="s">
        <v>27</v>
      </c>
      <c r="D4" s="1" t="s">
        <v>33</v>
      </c>
      <c r="E4" s="1">
        <v>1</v>
      </c>
      <c r="F4" s="1" t="s">
        <v>20</v>
      </c>
      <c r="G4" s="1" t="s">
        <v>34</v>
      </c>
      <c r="H4" s="3" t="s">
        <v>35</v>
      </c>
      <c r="I4" s="3" t="s">
        <v>34</v>
      </c>
      <c r="J4" s="3" t="s">
        <v>36</v>
      </c>
      <c r="K4" s="3" t="s">
        <v>37</v>
      </c>
      <c r="L4" s="3" t="s">
        <v>25</v>
      </c>
      <c r="M4" s="3" t="s">
        <v>26</v>
      </c>
      <c r="N4" s="4">
        <v>680</v>
      </c>
      <c r="O4" s="4">
        <v>242</v>
      </c>
      <c r="P4" s="4">
        <v>3</v>
      </c>
      <c r="Q4" s="4">
        <v>102.35</v>
      </c>
      <c r="R4" s="4">
        <v>335.65</v>
      </c>
      <c r="S4" s="21">
        <v>852</v>
      </c>
      <c r="T4" s="4">
        <v>715.97</v>
      </c>
      <c r="U4" s="4">
        <v>35.97</v>
      </c>
    </row>
    <row r="5" spans="1:21" x14ac:dyDescent="0.35">
      <c r="A5" t="s">
        <v>356</v>
      </c>
      <c r="B5">
        <v>202606</v>
      </c>
      <c r="C5" s="1" t="s">
        <v>27</v>
      </c>
      <c r="D5" s="1" t="s">
        <v>38</v>
      </c>
      <c r="E5" s="1">
        <v>2</v>
      </c>
      <c r="F5" s="1" t="s">
        <v>20</v>
      </c>
      <c r="G5" s="1" t="s">
        <v>39</v>
      </c>
      <c r="H5" s="3" t="s">
        <v>40</v>
      </c>
      <c r="I5" s="3" t="s">
        <v>39</v>
      </c>
      <c r="J5" s="3" t="s">
        <v>41</v>
      </c>
      <c r="K5" s="3" t="s">
        <v>42</v>
      </c>
      <c r="L5" s="3" t="s">
        <v>25</v>
      </c>
      <c r="M5" s="3" t="s">
        <v>26</v>
      </c>
      <c r="N5" s="4">
        <v>672</v>
      </c>
      <c r="O5" s="4">
        <v>242</v>
      </c>
      <c r="P5" s="4">
        <v>0</v>
      </c>
      <c r="Q5" s="4">
        <v>99.4</v>
      </c>
      <c r="R5" s="4">
        <v>330.6</v>
      </c>
      <c r="S5" s="21">
        <v>860</v>
      </c>
      <c r="T5" s="4">
        <v>722.69</v>
      </c>
      <c r="U5" s="4">
        <v>50.69</v>
      </c>
    </row>
    <row r="6" spans="1:21" x14ac:dyDescent="0.35">
      <c r="A6" t="s">
        <v>356</v>
      </c>
      <c r="B6">
        <v>202606</v>
      </c>
      <c r="C6" s="1" t="s">
        <v>27</v>
      </c>
      <c r="D6" s="1" t="s">
        <v>38</v>
      </c>
      <c r="E6" s="1">
        <v>2</v>
      </c>
      <c r="F6" s="1" t="s">
        <v>20</v>
      </c>
      <c r="G6" s="1" t="s">
        <v>43</v>
      </c>
      <c r="H6" s="3" t="s">
        <v>44</v>
      </c>
      <c r="I6" s="3" t="s">
        <v>43</v>
      </c>
      <c r="J6" s="3" t="s">
        <v>45</v>
      </c>
      <c r="K6" s="3" t="s">
        <v>46</v>
      </c>
      <c r="L6" s="3" t="s">
        <v>25</v>
      </c>
      <c r="M6" s="3" t="s">
        <v>26</v>
      </c>
      <c r="N6" s="4">
        <v>676</v>
      </c>
      <c r="O6" s="4">
        <v>242</v>
      </c>
      <c r="P6" s="4">
        <v>0</v>
      </c>
      <c r="Q6" s="4">
        <v>97.83</v>
      </c>
      <c r="R6" s="4">
        <v>336.17</v>
      </c>
      <c r="S6" s="21">
        <v>860</v>
      </c>
      <c r="T6" s="4">
        <v>722.69</v>
      </c>
      <c r="U6" s="4">
        <v>46.69</v>
      </c>
    </row>
    <row r="7" spans="1:21" x14ac:dyDescent="0.35">
      <c r="A7" t="s">
        <v>356</v>
      </c>
      <c r="B7">
        <v>202606</v>
      </c>
      <c r="C7" s="1" t="s">
        <v>27</v>
      </c>
      <c r="D7" s="1" t="s">
        <v>38</v>
      </c>
      <c r="E7" s="1">
        <v>2</v>
      </c>
      <c r="F7" s="1" t="s">
        <v>20</v>
      </c>
      <c r="G7" s="1" t="s">
        <v>47</v>
      </c>
      <c r="H7" s="3" t="s">
        <v>48</v>
      </c>
      <c r="I7" s="3" t="s">
        <v>47</v>
      </c>
      <c r="J7" s="3" t="s">
        <v>49</v>
      </c>
      <c r="K7" s="3" t="s">
        <v>46</v>
      </c>
      <c r="L7" s="3" t="s">
        <v>25</v>
      </c>
      <c r="M7" s="3" t="s">
        <v>26</v>
      </c>
      <c r="N7" s="4">
        <v>672</v>
      </c>
      <c r="O7" s="4">
        <v>242</v>
      </c>
      <c r="P7" s="4">
        <v>0</v>
      </c>
      <c r="Q7" s="4">
        <v>175.74</v>
      </c>
      <c r="R7" s="4">
        <v>254.26</v>
      </c>
      <c r="S7" s="21">
        <v>860</v>
      </c>
      <c r="T7" s="4">
        <v>722.69</v>
      </c>
      <c r="U7" s="4">
        <v>50.69</v>
      </c>
    </row>
    <row r="8" spans="1:21" x14ac:dyDescent="0.35">
      <c r="A8" t="s">
        <v>356</v>
      </c>
      <c r="B8">
        <v>202606</v>
      </c>
      <c r="C8" s="1" t="s">
        <v>27</v>
      </c>
      <c r="D8" s="1" t="s">
        <v>38</v>
      </c>
      <c r="E8" s="1">
        <v>2</v>
      </c>
      <c r="F8" s="1" t="s">
        <v>20</v>
      </c>
      <c r="G8" s="1" t="s">
        <v>50</v>
      </c>
      <c r="H8" s="3" t="s">
        <v>51</v>
      </c>
      <c r="I8" s="3" t="s">
        <v>50</v>
      </c>
      <c r="J8" s="3" t="s">
        <v>52</v>
      </c>
      <c r="K8" s="3" t="s">
        <v>53</v>
      </c>
      <c r="L8" s="3" t="s">
        <v>25</v>
      </c>
      <c r="M8" s="3" t="s">
        <v>26</v>
      </c>
      <c r="N8" s="4">
        <v>693</v>
      </c>
      <c r="O8" s="4">
        <v>242</v>
      </c>
      <c r="P8" s="4">
        <v>0</v>
      </c>
      <c r="Q8" s="4">
        <v>143.53</v>
      </c>
      <c r="R8" s="4">
        <v>307.47000000000003</v>
      </c>
      <c r="S8" s="21">
        <v>950</v>
      </c>
      <c r="T8" s="4">
        <v>798.32</v>
      </c>
      <c r="U8" s="4">
        <v>105.32</v>
      </c>
    </row>
    <row r="9" spans="1:21" x14ac:dyDescent="0.35">
      <c r="A9" t="s">
        <v>356</v>
      </c>
      <c r="B9">
        <v>202606</v>
      </c>
      <c r="C9" s="1" t="s">
        <v>27</v>
      </c>
      <c r="D9" s="1" t="s">
        <v>38</v>
      </c>
      <c r="E9" s="1">
        <v>2</v>
      </c>
      <c r="F9" s="1" t="s">
        <v>20</v>
      </c>
      <c r="G9" s="1" t="s">
        <v>54</v>
      </c>
      <c r="H9" s="3" t="s">
        <v>55</v>
      </c>
      <c r="I9" s="3" t="s">
        <v>54</v>
      </c>
      <c r="J9" s="3" t="s">
        <v>56</v>
      </c>
      <c r="K9" s="3" t="s">
        <v>57</v>
      </c>
      <c r="L9" s="3" t="s">
        <v>25</v>
      </c>
      <c r="M9" s="3" t="s">
        <v>26</v>
      </c>
      <c r="N9" s="4">
        <v>672</v>
      </c>
      <c r="O9" s="4">
        <v>242</v>
      </c>
      <c r="P9" s="4">
        <v>0</v>
      </c>
      <c r="Q9" s="4">
        <v>133.81</v>
      </c>
      <c r="R9" s="4">
        <v>296.19</v>
      </c>
      <c r="S9" s="21">
        <v>860</v>
      </c>
      <c r="T9" s="4">
        <v>722.69</v>
      </c>
      <c r="U9" s="4">
        <v>50.69</v>
      </c>
    </row>
    <row r="10" spans="1:21" x14ac:dyDescent="0.35">
      <c r="A10" t="s">
        <v>356</v>
      </c>
      <c r="B10">
        <v>202606</v>
      </c>
      <c r="C10" s="1" t="s">
        <v>27</v>
      </c>
      <c r="D10" s="1" t="s">
        <v>38</v>
      </c>
      <c r="E10" s="1">
        <v>2</v>
      </c>
      <c r="F10" s="1" t="s">
        <v>20</v>
      </c>
      <c r="G10" s="1" t="s">
        <v>58</v>
      </c>
      <c r="H10" s="3" t="s">
        <v>59</v>
      </c>
      <c r="I10" s="3" t="s">
        <v>60</v>
      </c>
      <c r="J10" s="3" t="s">
        <v>61</v>
      </c>
      <c r="K10" s="3" t="s">
        <v>62</v>
      </c>
      <c r="L10" s="3" t="s">
        <v>25</v>
      </c>
      <c r="M10" s="3" t="s">
        <v>26</v>
      </c>
      <c r="N10" s="4">
        <v>676</v>
      </c>
      <c r="O10" s="4">
        <v>242</v>
      </c>
      <c r="P10" s="4">
        <v>0</v>
      </c>
      <c r="Q10" s="4">
        <v>182.67</v>
      </c>
      <c r="R10" s="4">
        <v>251.33</v>
      </c>
      <c r="S10" s="21">
        <v>865</v>
      </c>
      <c r="T10" s="4">
        <v>726.89</v>
      </c>
      <c r="U10" s="4">
        <v>50.89</v>
      </c>
    </row>
    <row r="11" spans="1:21" x14ac:dyDescent="0.35">
      <c r="A11" t="s">
        <v>356</v>
      </c>
      <c r="B11">
        <v>202606</v>
      </c>
      <c r="C11" s="1" t="s">
        <v>27</v>
      </c>
      <c r="D11" s="1" t="s">
        <v>38</v>
      </c>
      <c r="E11" s="1">
        <v>2</v>
      </c>
      <c r="F11" s="1" t="s">
        <v>20</v>
      </c>
      <c r="G11" s="1" t="s">
        <v>54</v>
      </c>
      <c r="H11" s="3" t="s">
        <v>55</v>
      </c>
      <c r="I11" s="3" t="s">
        <v>54</v>
      </c>
      <c r="J11" s="3" t="s">
        <v>63</v>
      </c>
      <c r="K11" s="3" t="s">
        <v>57</v>
      </c>
      <c r="L11" s="3" t="s">
        <v>25</v>
      </c>
      <c r="M11" s="3" t="s">
        <v>26</v>
      </c>
      <c r="N11" s="4">
        <v>672</v>
      </c>
      <c r="O11" s="4">
        <v>242</v>
      </c>
      <c r="P11" s="4">
        <v>0</v>
      </c>
      <c r="Q11" s="4">
        <v>133.81</v>
      </c>
      <c r="R11" s="4">
        <v>296.19</v>
      </c>
      <c r="S11" s="21">
        <v>860</v>
      </c>
      <c r="T11" s="4">
        <v>722.69</v>
      </c>
      <c r="U11" s="4">
        <v>50.69</v>
      </c>
    </row>
    <row r="12" spans="1:21" x14ac:dyDescent="0.35">
      <c r="A12" t="s">
        <v>356</v>
      </c>
      <c r="B12">
        <v>202606</v>
      </c>
      <c r="C12" s="1" t="s">
        <v>27</v>
      </c>
      <c r="D12" s="1" t="s">
        <v>38</v>
      </c>
      <c r="E12" s="1">
        <v>2</v>
      </c>
      <c r="F12" s="1" t="s">
        <v>20</v>
      </c>
      <c r="G12" s="1" t="s">
        <v>64</v>
      </c>
      <c r="H12" s="3" t="s">
        <v>65</v>
      </c>
      <c r="I12" s="3" t="s">
        <v>64</v>
      </c>
      <c r="J12" s="3" t="s">
        <v>66</v>
      </c>
      <c r="K12" s="3" t="s">
        <v>67</v>
      </c>
      <c r="L12" s="3" t="s">
        <v>25</v>
      </c>
      <c r="M12" s="3" t="s">
        <v>26</v>
      </c>
      <c r="N12" s="4">
        <v>672</v>
      </c>
      <c r="O12" s="4">
        <v>242</v>
      </c>
      <c r="P12" s="4">
        <v>0</v>
      </c>
      <c r="Q12" s="4">
        <v>133.24</v>
      </c>
      <c r="R12" s="4">
        <v>296.76</v>
      </c>
      <c r="S12" s="21">
        <v>865</v>
      </c>
      <c r="T12" s="4">
        <v>726.89</v>
      </c>
      <c r="U12" s="4">
        <v>54.89</v>
      </c>
    </row>
    <row r="13" spans="1:21" x14ac:dyDescent="0.35">
      <c r="A13" t="s">
        <v>356</v>
      </c>
      <c r="B13">
        <v>202606</v>
      </c>
      <c r="C13" s="1" t="s">
        <v>27</v>
      </c>
      <c r="D13" s="1" t="s">
        <v>68</v>
      </c>
      <c r="E13" s="1">
        <v>3</v>
      </c>
      <c r="F13" s="1" t="s">
        <v>20</v>
      </c>
      <c r="G13" s="1" t="s">
        <v>69</v>
      </c>
      <c r="H13" s="3" t="s">
        <v>70</v>
      </c>
      <c r="I13" s="3" t="s">
        <v>69</v>
      </c>
      <c r="J13" s="3" t="s">
        <v>71</v>
      </c>
      <c r="K13" s="3" t="s">
        <v>46</v>
      </c>
      <c r="L13" s="3" t="s">
        <v>25</v>
      </c>
      <c r="M13" s="3" t="s">
        <v>26</v>
      </c>
      <c r="N13" s="4">
        <v>659</v>
      </c>
      <c r="O13" s="4">
        <v>196</v>
      </c>
      <c r="P13" s="4">
        <v>0</v>
      </c>
      <c r="Q13" s="4">
        <v>187.47</v>
      </c>
      <c r="R13" s="4">
        <v>275.52999999999997</v>
      </c>
      <c r="S13" s="21">
        <v>845</v>
      </c>
      <c r="T13" s="4">
        <v>710.08</v>
      </c>
      <c r="U13" s="4">
        <v>51.08</v>
      </c>
    </row>
    <row r="14" spans="1:21" x14ac:dyDescent="0.35">
      <c r="A14" t="s">
        <v>356</v>
      </c>
      <c r="B14">
        <v>202606</v>
      </c>
      <c r="C14" s="1" t="s">
        <v>27</v>
      </c>
      <c r="D14" s="1" t="s">
        <v>68</v>
      </c>
      <c r="E14" s="1">
        <v>3</v>
      </c>
      <c r="F14" s="1" t="s">
        <v>20</v>
      </c>
      <c r="G14" s="1" t="s">
        <v>72</v>
      </c>
      <c r="H14" s="3" t="s">
        <v>73</v>
      </c>
      <c r="I14" s="3" t="s">
        <v>74</v>
      </c>
      <c r="J14" s="3" t="s">
        <v>75</v>
      </c>
      <c r="K14" s="3" t="s">
        <v>57</v>
      </c>
      <c r="L14" s="3" t="s">
        <v>25</v>
      </c>
      <c r="M14" s="3" t="s">
        <v>26</v>
      </c>
      <c r="N14" s="4">
        <v>693</v>
      </c>
      <c r="O14" s="4">
        <v>242</v>
      </c>
      <c r="P14" s="4">
        <v>0</v>
      </c>
      <c r="Q14" s="4">
        <v>58.29</v>
      </c>
      <c r="R14" s="4">
        <v>392.71</v>
      </c>
      <c r="S14" s="21">
        <v>885</v>
      </c>
      <c r="T14" s="4">
        <v>743.7</v>
      </c>
      <c r="U14" s="4">
        <v>50.7</v>
      </c>
    </row>
    <row r="15" spans="1:21" x14ac:dyDescent="0.35">
      <c r="A15" t="s">
        <v>356</v>
      </c>
      <c r="B15">
        <v>202606</v>
      </c>
      <c r="C15" s="1" t="s">
        <v>27</v>
      </c>
      <c r="D15" s="1" t="s">
        <v>68</v>
      </c>
      <c r="E15" s="1">
        <v>3</v>
      </c>
      <c r="F15" s="1" t="s">
        <v>20</v>
      </c>
      <c r="G15" s="1" t="s">
        <v>76</v>
      </c>
      <c r="H15" s="3" t="s">
        <v>77</v>
      </c>
      <c r="I15" s="3" t="s">
        <v>78</v>
      </c>
      <c r="J15" s="3" t="s">
        <v>79</v>
      </c>
      <c r="K15" s="3" t="s">
        <v>57</v>
      </c>
      <c r="L15" s="3" t="s">
        <v>25</v>
      </c>
      <c r="M15" s="3" t="s">
        <v>26</v>
      </c>
      <c r="N15" s="4">
        <v>693</v>
      </c>
      <c r="O15" s="4">
        <v>242</v>
      </c>
      <c r="P15" s="4">
        <v>0</v>
      </c>
      <c r="Q15" s="4">
        <v>255.25</v>
      </c>
      <c r="R15" s="4">
        <v>195.75</v>
      </c>
      <c r="S15" s="21">
        <v>867</v>
      </c>
      <c r="T15" s="4">
        <v>728.57</v>
      </c>
      <c r="U15" s="4">
        <v>35.57</v>
      </c>
    </row>
    <row r="16" spans="1:21" x14ac:dyDescent="0.35">
      <c r="A16" t="s">
        <v>356</v>
      </c>
      <c r="B16">
        <v>202606</v>
      </c>
      <c r="C16" s="1" t="s">
        <v>27</v>
      </c>
      <c r="D16" s="1" t="s">
        <v>68</v>
      </c>
      <c r="E16" s="1">
        <v>3</v>
      </c>
      <c r="F16" s="1" t="s">
        <v>20</v>
      </c>
      <c r="G16" s="1" t="s">
        <v>69</v>
      </c>
      <c r="H16" s="3" t="s">
        <v>70</v>
      </c>
      <c r="I16" s="3" t="s">
        <v>69</v>
      </c>
      <c r="J16" s="3" t="s">
        <v>80</v>
      </c>
      <c r="K16" s="3" t="s">
        <v>81</v>
      </c>
      <c r="L16" s="3" t="s">
        <v>25</v>
      </c>
      <c r="M16" s="3" t="s">
        <v>26</v>
      </c>
      <c r="N16" s="4">
        <v>659</v>
      </c>
      <c r="O16" s="4">
        <v>196</v>
      </c>
      <c r="P16" s="4">
        <v>0</v>
      </c>
      <c r="Q16" s="4">
        <v>187.47</v>
      </c>
      <c r="R16" s="4">
        <v>275.52999999999997</v>
      </c>
      <c r="S16" s="21">
        <v>779</v>
      </c>
      <c r="T16" s="4">
        <v>654.62</v>
      </c>
      <c r="U16" s="4">
        <v>-4.38</v>
      </c>
    </row>
    <row r="17" spans="1:21" x14ac:dyDescent="0.35">
      <c r="A17" t="s">
        <v>356</v>
      </c>
      <c r="B17">
        <v>202606</v>
      </c>
      <c r="C17" s="1" t="s">
        <v>27</v>
      </c>
      <c r="D17" s="1" t="s">
        <v>82</v>
      </c>
      <c r="E17" s="1">
        <v>4</v>
      </c>
      <c r="F17" s="1" t="s">
        <v>20</v>
      </c>
      <c r="G17" s="1" t="s">
        <v>83</v>
      </c>
      <c r="H17" s="3" t="s">
        <v>84</v>
      </c>
      <c r="I17" s="3" t="s">
        <v>83</v>
      </c>
      <c r="J17" s="3" t="s">
        <v>85</v>
      </c>
      <c r="K17" s="3" t="s">
        <v>86</v>
      </c>
      <c r="L17" s="3" t="s">
        <v>25</v>
      </c>
      <c r="M17" s="3" t="s">
        <v>26</v>
      </c>
      <c r="N17" s="4">
        <v>621</v>
      </c>
      <c r="O17" s="4">
        <v>196</v>
      </c>
      <c r="P17" s="4">
        <v>0</v>
      </c>
      <c r="Q17" s="4">
        <v>219.38</v>
      </c>
      <c r="R17" s="4">
        <v>205.62</v>
      </c>
      <c r="S17" s="21">
        <v>798</v>
      </c>
      <c r="T17" s="4">
        <v>670.59</v>
      </c>
      <c r="U17" s="4">
        <v>49.59</v>
      </c>
    </row>
    <row r="18" spans="1:21" x14ac:dyDescent="0.35">
      <c r="A18" t="s">
        <v>356</v>
      </c>
      <c r="B18">
        <v>202606</v>
      </c>
      <c r="C18" s="1" t="s">
        <v>87</v>
      </c>
      <c r="D18" s="1" t="s">
        <v>88</v>
      </c>
      <c r="E18" s="1">
        <v>5</v>
      </c>
      <c r="F18" s="1" t="s">
        <v>20</v>
      </c>
      <c r="G18" s="1" t="s">
        <v>89</v>
      </c>
      <c r="H18" s="3" t="s">
        <v>90</v>
      </c>
      <c r="I18" s="3" t="s">
        <v>89</v>
      </c>
      <c r="J18" s="3" t="s">
        <v>91</v>
      </c>
      <c r="K18" s="3" t="s">
        <v>92</v>
      </c>
      <c r="L18" s="3" t="s">
        <v>25</v>
      </c>
      <c r="M18" s="3" t="s">
        <v>26</v>
      </c>
      <c r="N18" s="4">
        <v>605</v>
      </c>
      <c r="O18" s="4">
        <v>196</v>
      </c>
      <c r="P18" s="4">
        <v>0</v>
      </c>
      <c r="Q18" s="4">
        <v>84.05</v>
      </c>
      <c r="R18" s="4">
        <v>324.95</v>
      </c>
      <c r="S18" s="21">
        <v>779</v>
      </c>
      <c r="T18" s="4">
        <v>654.62</v>
      </c>
      <c r="U18" s="4">
        <v>49.62</v>
      </c>
    </row>
    <row r="19" spans="1:21" x14ac:dyDescent="0.35">
      <c r="A19" t="s">
        <v>356</v>
      </c>
      <c r="B19">
        <v>202606</v>
      </c>
      <c r="C19" s="1" t="s">
        <v>27</v>
      </c>
      <c r="D19" s="1" t="s">
        <v>82</v>
      </c>
      <c r="E19" s="1">
        <v>4</v>
      </c>
      <c r="F19" s="1" t="s">
        <v>20</v>
      </c>
      <c r="G19" s="1" t="s">
        <v>93</v>
      </c>
      <c r="H19" s="3" t="s">
        <v>94</v>
      </c>
      <c r="I19" s="3" t="s">
        <v>93</v>
      </c>
      <c r="J19" s="3" t="s">
        <v>95</v>
      </c>
      <c r="K19" s="3" t="s">
        <v>57</v>
      </c>
      <c r="L19" s="3" t="s">
        <v>25</v>
      </c>
      <c r="M19" s="3" t="s">
        <v>26</v>
      </c>
      <c r="N19" s="4">
        <v>621</v>
      </c>
      <c r="O19" s="4">
        <v>196</v>
      </c>
      <c r="P19" s="4">
        <v>0</v>
      </c>
      <c r="Q19" s="4">
        <v>324.55</v>
      </c>
      <c r="R19" s="4">
        <v>100.45</v>
      </c>
      <c r="S19" s="21">
        <v>817</v>
      </c>
      <c r="T19" s="4">
        <v>686.55</v>
      </c>
      <c r="U19" s="4">
        <v>65.55</v>
      </c>
    </row>
    <row r="20" spans="1:21" x14ac:dyDescent="0.35">
      <c r="A20" t="s">
        <v>356</v>
      </c>
      <c r="B20">
        <v>202606</v>
      </c>
      <c r="C20" s="1" t="s">
        <v>27</v>
      </c>
      <c r="D20" s="1" t="s">
        <v>82</v>
      </c>
      <c r="E20" s="1">
        <v>4</v>
      </c>
      <c r="F20" s="1" t="s">
        <v>20</v>
      </c>
      <c r="G20" s="1" t="s">
        <v>93</v>
      </c>
      <c r="H20" s="3" t="s">
        <v>94</v>
      </c>
      <c r="I20" s="3" t="s">
        <v>93</v>
      </c>
      <c r="J20" s="3" t="s">
        <v>96</v>
      </c>
      <c r="K20" s="3" t="s">
        <v>97</v>
      </c>
      <c r="L20" s="3" t="s">
        <v>25</v>
      </c>
      <c r="M20" s="3" t="s">
        <v>26</v>
      </c>
      <c r="N20" s="4">
        <v>621</v>
      </c>
      <c r="O20" s="4">
        <v>196</v>
      </c>
      <c r="P20" s="4">
        <v>0</v>
      </c>
      <c r="Q20" s="4">
        <v>324.55</v>
      </c>
      <c r="R20" s="4">
        <v>100.45</v>
      </c>
      <c r="S20" s="21">
        <v>817</v>
      </c>
      <c r="T20" s="4">
        <v>686.55</v>
      </c>
      <c r="U20" s="4">
        <v>65.55</v>
      </c>
    </row>
    <row r="21" spans="1:21" x14ac:dyDescent="0.35">
      <c r="A21" t="s">
        <v>356</v>
      </c>
      <c r="B21">
        <v>202606</v>
      </c>
      <c r="C21" s="1" t="s">
        <v>27</v>
      </c>
      <c r="D21" s="1" t="s">
        <v>82</v>
      </c>
      <c r="E21" s="1">
        <v>4</v>
      </c>
      <c r="F21" s="1" t="s">
        <v>20</v>
      </c>
      <c r="G21" s="1" t="s">
        <v>93</v>
      </c>
      <c r="H21" s="3" t="s">
        <v>94</v>
      </c>
      <c r="I21" s="3" t="s">
        <v>93</v>
      </c>
      <c r="J21" s="3" t="s">
        <v>98</v>
      </c>
      <c r="K21" s="3" t="s">
        <v>57</v>
      </c>
      <c r="L21" s="3" t="s">
        <v>25</v>
      </c>
      <c r="M21" s="3" t="s">
        <v>26</v>
      </c>
      <c r="N21" s="4">
        <v>621</v>
      </c>
      <c r="O21" s="4">
        <v>196</v>
      </c>
      <c r="P21" s="4">
        <v>0</v>
      </c>
      <c r="Q21" s="4">
        <v>324.55</v>
      </c>
      <c r="R21" s="4">
        <v>100.45</v>
      </c>
      <c r="S21" s="21">
        <v>817</v>
      </c>
      <c r="T21" s="4">
        <v>686.55</v>
      </c>
      <c r="U21" s="4">
        <v>65.55</v>
      </c>
    </row>
    <row r="22" spans="1:21" x14ac:dyDescent="0.35">
      <c r="A22" t="s">
        <v>356</v>
      </c>
      <c r="B22">
        <v>202606</v>
      </c>
      <c r="C22" s="1" t="s">
        <v>27</v>
      </c>
      <c r="D22" s="1" t="s">
        <v>82</v>
      </c>
      <c r="E22" s="1">
        <v>4</v>
      </c>
      <c r="F22" s="1" t="s">
        <v>20</v>
      </c>
      <c r="G22" s="1" t="s">
        <v>99</v>
      </c>
      <c r="H22" s="3" t="s">
        <v>100</v>
      </c>
      <c r="I22" s="3" t="s">
        <v>99</v>
      </c>
      <c r="J22" s="3" t="s">
        <v>101</v>
      </c>
      <c r="K22" s="3" t="s">
        <v>102</v>
      </c>
      <c r="L22" s="3" t="s">
        <v>25</v>
      </c>
      <c r="M22" s="3" t="s">
        <v>26</v>
      </c>
      <c r="N22" s="4">
        <v>621</v>
      </c>
      <c r="O22" s="4">
        <v>196</v>
      </c>
      <c r="P22" s="4">
        <v>0</v>
      </c>
      <c r="Q22" s="4">
        <v>163.32</v>
      </c>
      <c r="R22" s="4">
        <v>261.68</v>
      </c>
      <c r="S22" s="21">
        <v>798</v>
      </c>
      <c r="T22" s="4">
        <v>670.59</v>
      </c>
      <c r="U22" s="4">
        <v>49.59</v>
      </c>
    </row>
    <row r="23" spans="1:21" x14ac:dyDescent="0.35">
      <c r="A23" t="s">
        <v>356</v>
      </c>
      <c r="B23">
        <v>202606</v>
      </c>
      <c r="C23" s="1" t="s">
        <v>87</v>
      </c>
      <c r="D23" s="1" t="s">
        <v>88</v>
      </c>
      <c r="E23" s="1">
        <v>5</v>
      </c>
      <c r="F23" s="1" t="s">
        <v>20</v>
      </c>
      <c r="G23" s="1" t="s">
        <v>103</v>
      </c>
      <c r="H23" s="3" t="s">
        <v>104</v>
      </c>
      <c r="I23" s="3" t="s">
        <v>105</v>
      </c>
      <c r="J23" s="3" t="s">
        <v>106</v>
      </c>
      <c r="K23" s="3" t="s">
        <v>57</v>
      </c>
      <c r="L23" s="3" t="s">
        <v>25</v>
      </c>
      <c r="M23" s="3" t="s">
        <v>26</v>
      </c>
      <c r="N23" s="4">
        <v>605</v>
      </c>
      <c r="O23" s="4">
        <v>196</v>
      </c>
      <c r="P23" s="4">
        <v>0</v>
      </c>
      <c r="Q23" s="4">
        <v>134.94</v>
      </c>
      <c r="R23" s="4">
        <v>274.06</v>
      </c>
      <c r="S23" s="21">
        <v>779</v>
      </c>
      <c r="T23" s="4">
        <v>654.62</v>
      </c>
      <c r="U23" s="4">
        <v>49.62</v>
      </c>
    </row>
    <row r="24" spans="1:21" x14ac:dyDescent="0.35">
      <c r="A24" t="s">
        <v>356</v>
      </c>
      <c r="B24">
        <v>202606</v>
      </c>
      <c r="C24" s="1" t="s">
        <v>27</v>
      </c>
      <c r="D24" s="1" t="s">
        <v>82</v>
      </c>
      <c r="E24" s="1">
        <v>4</v>
      </c>
      <c r="F24" s="1" t="s">
        <v>20</v>
      </c>
      <c r="G24" s="1" t="s">
        <v>83</v>
      </c>
      <c r="H24" s="3" t="s">
        <v>84</v>
      </c>
      <c r="I24" s="3" t="s">
        <v>83</v>
      </c>
      <c r="J24" s="3" t="s">
        <v>107</v>
      </c>
      <c r="K24" s="3" t="s">
        <v>108</v>
      </c>
      <c r="L24" s="3" t="s">
        <v>25</v>
      </c>
      <c r="M24" s="3" t="s">
        <v>26</v>
      </c>
      <c r="N24" s="4">
        <v>621</v>
      </c>
      <c r="O24" s="4">
        <v>196</v>
      </c>
      <c r="P24" s="4">
        <v>0</v>
      </c>
      <c r="Q24" s="4">
        <v>219.38</v>
      </c>
      <c r="R24" s="4">
        <v>205.62</v>
      </c>
      <c r="S24" s="21">
        <v>798</v>
      </c>
      <c r="T24" s="4">
        <v>670.59</v>
      </c>
      <c r="U24" s="4">
        <v>49.59</v>
      </c>
    </row>
    <row r="25" spans="1:21" x14ac:dyDescent="0.35">
      <c r="A25" t="s">
        <v>356</v>
      </c>
      <c r="B25">
        <v>202606</v>
      </c>
      <c r="C25" s="1" t="s">
        <v>87</v>
      </c>
      <c r="D25" s="1" t="s">
        <v>88</v>
      </c>
      <c r="E25" s="1">
        <v>5</v>
      </c>
      <c r="F25" s="1" t="s">
        <v>20</v>
      </c>
      <c r="G25" s="1" t="s">
        <v>109</v>
      </c>
      <c r="H25" s="3" t="s">
        <v>110</v>
      </c>
      <c r="I25" s="3" t="s">
        <v>109</v>
      </c>
      <c r="J25" s="3" t="s">
        <v>111</v>
      </c>
      <c r="K25" s="3" t="s">
        <v>112</v>
      </c>
      <c r="L25" s="3" t="s">
        <v>25</v>
      </c>
      <c r="M25" s="3" t="s">
        <v>26</v>
      </c>
      <c r="N25" s="4">
        <v>605</v>
      </c>
      <c r="O25" s="4">
        <v>196</v>
      </c>
      <c r="P25" s="4">
        <v>0</v>
      </c>
      <c r="Q25" s="4">
        <v>174.19</v>
      </c>
      <c r="R25" s="4">
        <v>234.81</v>
      </c>
      <c r="S25" s="21">
        <v>798</v>
      </c>
      <c r="T25" s="4">
        <v>670.59</v>
      </c>
      <c r="U25" s="4">
        <v>65.59</v>
      </c>
    </row>
    <row r="26" spans="1:21" x14ac:dyDescent="0.35">
      <c r="A26" t="s">
        <v>356</v>
      </c>
      <c r="B26">
        <v>202606</v>
      </c>
      <c r="C26" s="1" t="s">
        <v>87</v>
      </c>
      <c r="D26" s="1" t="s">
        <v>88</v>
      </c>
      <c r="E26" s="1">
        <v>5</v>
      </c>
      <c r="F26" s="1" t="s">
        <v>20</v>
      </c>
      <c r="G26" s="1" t="s">
        <v>113</v>
      </c>
      <c r="H26" s="3" t="s">
        <v>114</v>
      </c>
      <c r="I26" s="3" t="s">
        <v>113</v>
      </c>
      <c r="J26" s="3" t="s">
        <v>115</v>
      </c>
      <c r="K26" s="3" t="s">
        <v>116</v>
      </c>
      <c r="L26" s="3" t="s">
        <v>25</v>
      </c>
      <c r="M26" s="3" t="s">
        <v>26</v>
      </c>
      <c r="N26" s="4">
        <v>605</v>
      </c>
      <c r="O26" s="4">
        <v>196</v>
      </c>
      <c r="P26" s="4">
        <v>0</v>
      </c>
      <c r="Q26" s="4">
        <v>161.36000000000001</v>
      </c>
      <c r="R26" s="4">
        <v>247.64</v>
      </c>
      <c r="S26" s="21">
        <v>803</v>
      </c>
      <c r="T26" s="4">
        <v>674.79</v>
      </c>
      <c r="U26" s="4">
        <v>69.790000000000006</v>
      </c>
    </row>
    <row r="27" spans="1:21" x14ac:dyDescent="0.35">
      <c r="A27" t="s">
        <v>356</v>
      </c>
      <c r="B27">
        <v>202606</v>
      </c>
      <c r="C27" s="1" t="s">
        <v>87</v>
      </c>
      <c r="D27" s="1" t="s">
        <v>117</v>
      </c>
      <c r="E27" s="1">
        <v>16</v>
      </c>
      <c r="F27" s="1" t="s">
        <v>20</v>
      </c>
      <c r="G27" s="1" t="s">
        <v>118</v>
      </c>
      <c r="H27" s="3" t="s">
        <v>119</v>
      </c>
      <c r="I27" s="3" t="s">
        <v>120</v>
      </c>
      <c r="J27" s="3" t="s">
        <v>121</v>
      </c>
      <c r="K27" s="3" t="s">
        <v>57</v>
      </c>
      <c r="L27" s="3" t="s">
        <v>25</v>
      </c>
      <c r="M27" s="3" t="s">
        <v>26</v>
      </c>
      <c r="N27" s="4">
        <v>605</v>
      </c>
      <c r="O27" s="4">
        <v>196</v>
      </c>
      <c r="P27" s="4">
        <v>0</v>
      </c>
      <c r="Q27" s="4">
        <v>132.47</v>
      </c>
      <c r="R27" s="4">
        <v>276.52999999999997</v>
      </c>
      <c r="S27" s="21">
        <v>780</v>
      </c>
      <c r="T27" s="4">
        <v>655.46</v>
      </c>
      <c r="U27" s="4">
        <v>50.46</v>
      </c>
    </row>
    <row r="28" spans="1:21" x14ac:dyDescent="0.35">
      <c r="A28" t="s">
        <v>356</v>
      </c>
      <c r="B28">
        <v>202606</v>
      </c>
      <c r="C28" s="1" t="s">
        <v>87</v>
      </c>
      <c r="D28" s="1" t="s">
        <v>122</v>
      </c>
      <c r="E28" s="1">
        <v>7</v>
      </c>
      <c r="F28" s="1" t="s">
        <v>20</v>
      </c>
      <c r="G28" s="1" t="s">
        <v>123</v>
      </c>
      <c r="H28" s="3" t="s">
        <v>124</v>
      </c>
      <c r="I28" s="3" t="s">
        <v>125</v>
      </c>
      <c r="J28" s="3" t="s">
        <v>126</v>
      </c>
      <c r="K28" s="3" t="s">
        <v>127</v>
      </c>
      <c r="L28" s="3" t="s">
        <v>25</v>
      </c>
      <c r="M28" s="3" t="s">
        <v>26</v>
      </c>
      <c r="N28" s="4">
        <v>605</v>
      </c>
      <c r="O28" s="4">
        <v>196</v>
      </c>
      <c r="P28" s="4">
        <v>0</v>
      </c>
      <c r="Q28" s="4">
        <v>84.84</v>
      </c>
      <c r="R28" s="4">
        <v>324.16000000000003</v>
      </c>
      <c r="S28" s="21">
        <v>780</v>
      </c>
      <c r="T28" s="4">
        <v>655.46</v>
      </c>
      <c r="U28" s="4">
        <v>50.46</v>
      </c>
    </row>
    <row r="29" spans="1:21" x14ac:dyDescent="0.35">
      <c r="A29" t="s">
        <v>356</v>
      </c>
      <c r="B29">
        <v>202606</v>
      </c>
      <c r="C29" s="1" t="s">
        <v>128</v>
      </c>
      <c r="D29" s="1" t="s">
        <v>129</v>
      </c>
      <c r="E29" s="1">
        <v>8</v>
      </c>
      <c r="F29" s="1" t="s">
        <v>20</v>
      </c>
      <c r="G29" s="1" t="s">
        <v>130</v>
      </c>
      <c r="H29" s="3" t="s">
        <v>131</v>
      </c>
      <c r="I29" s="3" t="s">
        <v>132</v>
      </c>
      <c r="J29" s="3" t="s">
        <v>133</v>
      </c>
      <c r="K29" s="3" t="s">
        <v>134</v>
      </c>
      <c r="L29" s="3" t="s">
        <v>25</v>
      </c>
      <c r="M29" s="3" t="s">
        <v>26</v>
      </c>
      <c r="N29" s="4">
        <v>626</v>
      </c>
      <c r="O29" s="4">
        <v>196</v>
      </c>
      <c r="P29" s="4">
        <v>37.67</v>
      </c>
      <c r="Q29" s="4">
        <v>69.849999999999994</v>
      </c>
      <c r="R29" s="4">
        <v>322.48</v>
      </c>
      <c r="S29" s="21">
        <v>805</v>
      </c>
      <c r="T29" s="4">
        <v>676.47</v>
      </c>
      <c r="U29" s="4">
        <v>50.47</v>
      </c>
    </row>
    <row r="30" spans="1:21" x14ac:dyDescent="0.35">
      <c r="A30" t="s">
        <v>356</v>
      </c>
      <c r="B30">
        <v>202606</v>
      </c>
      <c r="C30" s="1" t="s">
        <v>87</v>
      </c>
      <c r="D30" s="1" t="s">
        <v>117</v>
      </c>
      <c r="E30" s="1">
        <v>16</v>
      </c>
      <c r="F30" s="1" t="s">
        <v>20</v>
      </c>
      <c r="G30" s="1" t="s">
        <v>135</v>
      </c>
      <c r="H30" s="3" t="s">
        <v>136</v>
      </c>
      <c r="I30" s="3" t="s">
        <v>137</v>
      </c>
      <c r="J30" s="3" t="s">
        <v>138</v>
      </c>
      <c r="K30" s="3" t="s">
        <v>139</v>
      </c>
      <c r="L30" s="3" t="s">
        <v>25</v>
      </c>
      <c r="M30" s="3" t="s">
        <v>26</v>
      </c>
      <c r="N30" s="4">
        <v>605</v>
      </c>
      <c r="O30" s="4">
        <v>196</v>
      </c>
      <c r="P30" s="4">
        <v>0</v>
      </c>
      <c r="Q30" s="4">
        <v>93.11</v>
      </c>
      <c r="R30" s="4">
        <v>315.89</v>
      </c>
      <c r="S30" s="21">
        <v>780</v>
      </c>
      <c r="T30" s="4">
        <v>655.46</v>
      </c>
      <c r="U30" s="4">
        <v>50.46</v>
      </c>
    </row>
    <row r="31" spans="1:21" x14ac:dyDescent="0.35">
      <c r="A31" t="s">
        <v>356</v>
      </c>
      <c r="B31">
        <v>202606</v>
      </c>
      <c r="C31" s="1" t="s">
        <v>128</v>
      </c>
      <c r="D31" s="1" t="s">
        <v>140</v>
      </c>
      <c r="E31" s="1">
        <v>9</v>
      </c>
      <c r="F31" s="1" t="s">
        <v>20</v>
      </c>
      <c r="G31" s="1" t="s">
        <v>141</v>
      </c>
      <c r="H31" s="3" t="s">
        <v>142</v>
      </c>
      <c r="I31" s="3" t="s">
        <v>141</v>
      </c>
      <c r="J31" s="3" t="s">
        <v>143</v>
      </c>
      <c r="K31" s="3" t="s">
        <v>144</v>
      </c>
      <c r="L31" s="3" t="s">
        <v>25</v>
      </c>
      <c r="M31" s="3" t="s">
        <v>26</v>
      </c>
      <c r="N31" s="4">
        <v>655</v>
      </c>
      <c r="O31" s="4">
        <v>196</v>
      </c>
      <c r="P31" s="4">
        <v>37.67</v>
      </c>
      <c r="Q31" s="4">
        <v>108.39</v>
      </c>
      <c r="R31" s="4">
        <v>312.94</v>
      </c>
      <c r="S31" s="21">
        <v>816</v>
      </c>
      <c r="T31" s="4">
        <v>685.71</v>
      </c>
      <c r="U31" s="4">
        <v>30.71</v>
      </c>
    </row>
    <row r="32" spans="1:21" x14ac:dyDescent="0.35">
      <c r="A32" t="s">
        <v>356</v>
      </c>
      <c r="B32">
        <v>202606</v>
      </c>
      <c r="C32" s="1" t="s">
        <v>128</v>
      </c>
      <c r="D32" s="1" t="s">
        <v>140</v>
      </c>
      <c r="E32" s="1">
        <v>9</v>
      </c>
      <c r="F32" s="1" t="s">
        <v>20</v>
      </c>
      <c r="G32" s="1" t="s">
        <v>145</v>
      </c>
      <c r="H32" s="3" t="s">
        <v>146</v>
      </c>
      <c r="I32" s="3" t="s">
        <v>145</v>
      </c>
      <c r="J32" s="3" t="s">
        <v>147</v>
      </c>
      <c r="K32" s="3" t="s">
        <v>57</v>
      </c>
      <c r="L32" s="3" t="s">
        <v>25</v>
      </c>
      <c r="M32" s="3" t="s">
        <v>26</v>
      </c>
      <c r="N32" s="4">
        <v>655</v>
      </c>
      <c r="O32" s="4">
        <v>196</v>
      </c>
      <c r="P32" s="4">
        <v>37.67</v>
      </c>
      <c r="Q32" s="4">
        <v>116.28</v>
      </c>
      <c r="R32" s="4">
        <v>305.05</v>
      </c>
      <c r="S32" s="21">
        <v>840</v>
      </c>
      <c r="T32" s="4">
        <v>705.88</v>
      </c>
      <c r="U32" s="4">
        <v>50.88</v>
      </c>
    </row>
    <row r="33" spans="1:21" x14ac:dyDescent="0.35">
      <c r="A33" t="s">
        <v>356</v>
      </c>
      <c r="B33">
        <v>202606</v>
      </c>
      <c r="C33" s="1" t="s">
        <v>128</v>
      </c>
      <c r="D33" s="1" t="s">
        <v>129</v>
      </c>
      <c r="E33" s="1">
        <v>8</v>
      </c>
      <c r="F33" s="1" t="s">
        <v>20</v>
      </c>
      <c r="G33" s="1" t="s">
        <v>148</v>
      </c>
      <c r="H33" s="3" t="s">
        <v>149</v>
      </c>
      <c r="I33" s="3" t="s">
        <v>150</v>
      </c>
      <c r="J33" s="3" t="s">
        <v>151</v>
      </c>
      <c r="K33" s="3" t="s">
        <v>57</v>
      </c>
      <c r="L33" s="3" t="s">
        <v>25</v>
      </c>
      <c r="M33" s="3" t="s">
        <v>26</v>
      </c>
      <c r="N33" s="4">
        <v>626</v>
      </c>
      <c r="O33" s="4">
        <v>196</v>
      </c>
      <c r="P33" s="4">
        <v>37.67</v>
      </c>
      <c r="Q33" s="4">
        <v>77.989999999999995</v>
      </c>
      <c r="R33" s="4">
        <v>314.33999999999997</v>
      </c>
      <c r="S33" s="21">
        <v>805</v>
      </c>
      <c r="T33" s="4">
        <v>676.47</v>
      </c>
      <c r="U33" s="4">
        <v>50.47</v>
      </c>
    </row>
    <row r="34" spans="1:21" x14ac:dyDescent="0.35">
      <c r="A34" t="s">
        <v>356</v>
      </c>
      <c r="B34">
        <v>202606</v>
      </c>
      <c r="C34" s="1" t="s">
        <v>128</v>
      </c>
      <c r="D34" s="1" t="s">
        <v>140</v>
      </c>
      <c r="E34" s="1">
        <v>9</v>
      </c>
      <c r="F34" s="1" t="s">
        <v>20</v>
      </c>
      <c r="G34" s="1" t="s">
        <v>152</v>
      </c>
      <c r="H34" s="3" t="s">
        <v>153</v>
      </c>
      <c r="I34" s="3" t="s">
        <v>152</v>
      </c>
      <c r="J34" s="3" t="s">
        <v>154</v>
      </c>
      <c r="K34" s="3" t="s">
        <v>155</v>
      </c>
      <c r="L34" s="3" t="s">
        <v>25</v>
      </c>
      <c r="M34" s="3" t="s">
        <v>26</v>
      </c>
      <c r="N34" s="4">
        <v>655</v>
      </c>
      <c r="O34" s="4">
        <v>196</v>
      </c>
      <c r="P34" s="4">
        <v>37.67</v>
      </c>
      <c r="Q34" s="4">
        <v>100.31</v>
      </c>
      <c r="R34" s="4">
        <v>321.02</v>
      </c>
      <c r="S34" s="21">
        <v>798</v>
      </c>
      <c r="T34" s="4">
        <v>670.59</v>
      </c>
      <c r="U34" s="4">
        <v>15.59</v>
      </c>
    </row>
    <row r="35" spans="1:21" x14ac:dyDescent="0.35">
      <c r="A35" t="s">
        <v>356</v>
      </c>
      <c r="B35">
        <v>202606</v>
      </c>
      <c r="C35" s="1" t="s">
        <v>128</v>
      </c>
      <c r="D35" s="1" t="s">
        <v>129</v>
      </c>
      <c r="E35" s="1">
        <v>8</v>
      </c>
      <c r="F35" s="1" t="s">
        <v>20</v>
      </c>
      <c r="G35" s="1" t="s">
        <v>148</v>
      </c>
      <c r="H35" s="3" t="s">
        <v>149</v>
      </c>
      <c r="I35" s="3" t="s">
        <v>150</v>
      </c>
      <c r="J35" s="3" t="s">
        <v>156</v>
      </c>
      <c r="K35" s="3" t="s">
        <v>57</v>
      </c>
      <c r="L35" s="3" t="s">
        <v>25</v>
      </c>
      <c r="M35" s="3" t="s">
        <v>26</v>
      </c>
      <c r="N35" s="4">
        <v>626</v>
      </c>
      <c r="O35" s="4">
        <v>196</v>
      </c>
      <c r="P35" s="4">
        <v>37.67</v>
      </c>
      <c r="Q35" s="4">
        <v>77.989999999999995</v>
      </c>
      <c r="R35" s="4">
        <v>314.33999999999997</v>
      </c>
      <c r="S35" s="21">
        <v>805</v>
      </c>
      <c r="T35" s="4">
        <v>676.47</v>
      </c>
      <c r="U35" s="4">
        <v>50.47</v>
      </c>
    </row>
    <row r="36" spans="1:21" x14ac:dyDescent="0.35">
      <c r="A36" t="s">
        <v>356</v>
      </c>
      <c r="B36">
        <v>202606</v>
      </c>
      <c r="C36" s="1" t="s">
        <v>128</v>
      </c>
      <c r="D36" s="1" t="s">
        <v>129</v>
      </c>
      <c r="E36" s="1">
        <v>8</v>
      </c>
      <c r="F36" s="1" t="s">
        <v>20</v>
      </c>
      <c r="G36" s="1" t="s">
        <v>157</v>
      </c>
      <c r="H36" s="3" t="s">
        <v>158</v>
      </c>
      <c r="I36" s="3" t="s">
        <v>157</v>
      </c>
      <c r="J36" s="3" t="s">
        <v>159</v>
      </c>
      <c r="K36" s="3" t="s">
        <v>160</v>
      </c>
      <c r="L36" s="3" t="s">
        <v>25</v>
      </c>
      <c r="M36" s="3" t="s">
        <v>26</v>
      </c>
      <c r="N36" s="4">
        <v>626</v>
      </c>
      <c r="O36" s="4">
        <v>196</v>
      </c>
      <c r="P36" s="4">
        <v>37.67</v>
      </c>
      <c r="Q36" s="4">
        <v>81.3</v>
      </c>
      <c r="R36" s="4">
        <v>311.02999999999997</v>
      </c>
      <c r="S36" s="21">
        <v>815</v>
      </c>
      <c r="T36" s="4">
        <v>684.87</v>
      </c>
      <c r="U36" s="4">
        <v>58.87</v>
      </c>
    </row>
    <row r="37" spans="1:21" x14ac:dyDescent="0.35">
      <c r="A37" t="s">
        <v>356</v>
      </c>
      <c r="B37">
        <v>202606</v>
      </c>
      <c r="C37" s="1" t="s">
        <v>128</v>
      </c>
      <c r="D37" s="1" t="s">
        <v>140</v>
      </c>
      <c r="E37" s="1">
        <v>9</v>
      </c>
      <c r="F37" s="1" t="s">
        <v>20</v>
      </c>
      <c r="G37" s="1" t="s">
        <v>161</v>
      </c>
      <c r="H37" s="3" t="s">
        <v>162</v>
      </c>
      <c r="I37" s="3" t="s">
        <v>163</v>
      </c>
      <c r="J37" s="3" t="s">
        <v>164</v>
      </c>
      <c r="K37" s="3" t="s">
        <v>57</v>
      </c>
      <c r="L37" s="3" t="s">
        <v>25</v>
      </c>
      <c r="M37" s="3" t="s">
        <v>26</v>
      </c>
      <c r="N37" s="4">
        <v>655</v>
      </c>
      <c r="O37" s="4">
        <v>196</v>
      </c>
      <c r="P37" s="4">
        <v>37.67</v>
      </c>
      <c r="Q37" s="4">
        <v>115.31</v>
      </c>
      <c r="R37" s="4">
        <v>306.02</v>
      </c>
      <c r="S37" s="21">
        <v>839</v>
      </c>
      <c r="T37" s="4">
        <v>705.04</v>
      </c>
      <c r="U37" s="4">
        <v>50.04</v>
      </c>
    </row>
    <row r="38" spans="1:21" x14ac:dyDescent="0.35">
      <c r="A38" t="s">
        <v>356</v>
      </c>
      <c r="B38">
        <v>202606</v>
      </c>
      <c r="C38" s="1" t="s">
        <v>87</v>
      </c>
      <c r="D38" s="1" t="s">
        <v>117</v>
      </c>
      <c r="E38" s="1">
        <v>16</v>
      </c>
      <c r="F38" s="1" t="s">
        <v>20</v>
      </c>
      <c r="G38" s="1" t="s">
        <v>135</v>
      </c>
      <c r="H38" s="3" t="s">
        <v>136</v>
      </c>
      <c r="I38" s="3" t="s">
        <v>137</v>
      </c>
      <c r="J38" s="3" t="s">
        <v>165</v>
      </c>
      <c r="K38" s="3" t="s">
        <v>166</v>
      </c>
      <c r="L38" s="3" t="s">
        <v>25</v>
      </c>
      <c r="M38" s="3" t="s">
        <v>26</v>
      </c>
      <c r="N38" s="4">
        <v>605</v>
      </c>
      <c r="O38" s="4">
        <v>196</v>
      </c>
      <c r="P38" s="4">
        <v>0</v>
      </c>
      <c r="Q38" s="4">
        <v>93.11</v>
      </c>
      <c r="R38" s="4">
        <v>315.89</v>
      </c>
      <c r="S38" s="21">
        <v>780</v>
      </c>
      <c r="T38" s="4">
        <v>655.46</v>
      </c>
      <c r="U38" s="4">
        <v>50.46</v>
      </c>
    </row>
    <row r="39" spans="1:21" x14ac:dyDescent="0.35">
      <c r="A39" t="s">
        <v>356</v>
      </c>
      <c r="B39">
        <v>202606</v>
      </c>
      <c r="C39" s="1" t="s">
        <v>128</v>
      </c>
      <c r="D39" s="1" t="s">
        <v>129</v>
      </c>
      <c r="E39" s="1">
        <v>8</v>
      </c>
      <c r="F39" s="1" t="s">
        <v>20</v>
      </c>
      <c r="G39" s="1" t="s">
        <v>167</v>
      </c>
      <c r="H39" s="3" t="s">
        <v>168</v>
      </c>
      <c r="I39" s="3" t="s">
        <v>167</v>
      </c>
      <c r="J39" s="3" t="s">
        <v>169</v>
      </c>
      <c r="K39" s="3" t="s">
        <v>170</v>
      </c>
      <c r="L39" s="3" t="s">
        <v>25</v>
      </c>
      <c r="M39" s="3" t="s">
        <v>26</v>
      </c>
      <c r="N39" s="4">
        <v>626</v>
      </c>
      <c r="O39" s="4">
        <v>196</v>
      </c>
      <c r="P39" s="4">
        <v>37.67</v>
      </c>
      <c r="Q39" s="4">
        <v>58.21</v>
      </c>
      <c r="R39" s="4">
        <v>334.12</v>
      </c>
      <c r="S39" s="21">
        <v>805</v>
      </c>
      <c r="T39" s="4">
        <v>676.47</v>
      </c>
      <c r="U39" s="4">
        <v>50.47</v>
      </c>
    </row>
    <row r="40" spans="1:21" x14ac:dyDescent="0.35">
      <c r="A40" t="s">
        <v>356</v>
      </c>
      <c r="B40">
        <v>202606</v>
      </c>
      <c r="C40" s="1" t="s">
        <v>128</v>
      </c>
      <c r="D40" s="1" t="s">
        <v>129</v>
      </c>
      <c r="E40" s="1">
        <v>8</v>
      </c>
      <c r="F40" s="1" t="s">
        <v>20</v>
      </c>
      <c r="G40" s="1" t="s">
        <v>171</v>
      </c>
      <c r="H40" s="3" t="s">
        <v>172</v>
      </c>
      <c r="I40" s="3" t="s">
        <v>171</v>
      </c>
      <c r="J40" s="3" t="s">
        <v>173</v>
      </c>
      <c r="K40" s="3" t="s">
        <v>174</v>
      </c>
      <c r="L40" s="3" t="s">
        <v>25</v>
      </c>
      <c r="M40" s="3" t="s">
        <v>26</v>
      </c>
      <c r="N40" s="4">
        <v>626</v>
      </c>
      <c r="O40" s="4">
        <v>196</v>
      </c>
      <c r="P40" s="4">
        <v>37.67</v>
      </c>
      <c r="Q40" s="4">
        <v>73.7</v>
      </c>
      <c r="R40" s="4">
        <v>318.63</v>
      </c>
      <c r="S40" s="21">
        <v>823</v>
      </c>
      <c r="T40" s="4">
        <v>691.6</v>
      </c>
      <c r="U40" s="4">
        <v>65.599999999999994</v>
      </c>
    </row>
    <row r="41" spans="1:21" x14ac:dyDescent="0.35">
      <c r="A41" t="s">
        <v>356</v>
      </c>
      <c r="B41">
        <v>202606</v>
      </c>
      <c r="C41" s="1" t="s">
        <v>128</v>
      </c>
      <c r="D41" s="1" t="s">
        <v>129</v>
      </c>
      <c r="E41" s="1">
        <v>8</v>
      </c>
      <c r="F41" s="1" t="s">
        <v>20</v>
      </c>
      <c r="G41" s="1" t="s">
        <v>175</v>
      </c>
      <c r="H41" s="3" t="s">
        <v>176</v>
      </c>
      <c r="I41" s="3" t="s">
        <v>175</v>
      </c>
      <c r="J41" s="3" t="s">
        <v>177</v>
      </c>
      <c r="K41" s="3" t="s">
        <v>178</v>
      </c>
      <c r="L41" s="3" t="s">
        <v>25</v>
      </c>
      <c r="M41" s="3" t="s">
        <v>26</v>
      </c>
      <c r="N41" s="4">
        <v>626</v>
      </c>
      <c r="O41" s="4">
        <v>196</v>
      </c>
      <c r="P41" s="4">
        <v>37.67</v>
      </c>
      <c r="Q41" s="4">
        <v>78.52</v>
      </c>
      <c r="R41" s="4">
        <v>313.81</v>
      </c>
      <c r="S41" s="21">
        <v>804</v>
      </c>
      <c r="T41" s="4">
        <v>675.63</v>
      </c>
      <c r="U41" s="4">
        <v>49.63</v>
      </c>
    </row>
    <row r="42" spans="1:21" x14ac:dyDescent="0.35">
      <c r="A42" t="s">
        <v>356</v>
      </c>
      <c r="B42">
        <v>202606</v>
      </c>
      <c r="C42" s="1" t="s">
        <v>128</v>
      </c>
      <c r="D42" s="1" t="s">
        <v>140</v>
      </c>
      <c r="E42" s="1">
        <v>9</v>
      </c>
      <c r="F42" s="1" t="s">
        <v>20</v>
      </c>
      <c r="G42" s="1" t="s">
        <v>179</v>
      </c>
      <c r="H42" s="3" t="s">
        <v>180</v>
      </c>
      <c r="I42" s="3" t="s">
        <v>179</v>
      </c>
      <c r="J42" s="3" t="s">
        <v>181</v>
      </c>
      <c r="K42" s="3" t="s">
        <v>57</v>
      </c>
      <c r="L42" s="3" t="s">
        <v>25</v>
      </c>
      <c r="M42" s="3" t="s">
        <v>26</v>
      </c>
      <c r="N42" s="4">
        <v>626</v>
      </c>
      <c r="O42" s="4">
        <v>196</v>
      </c>
      <c r="P42" s="4">
        <v>37.67</v>
      </c>
      <c r="Q42" s="4">
        <v>75.3</v>
      </c>
      <c r="R42" s="4">
        <v>317.02999999999997</v>
      </c>
      <c r="S42" s="21">
        <v>805</v>
      </c>
      <c r="T42" s="4">
        <v>676.47</v>
      </c>
      <c r="U42" s="4">
        <v>50.47</v>
      </c>
    </row>
    <row r="43" spans="1:21" x14ac:dyDescent="0.35">
      <c r="A43" t="s">
        <v>356</v>
      </c>
      <c r="B43">
        <v>202606</v>
      </c>
      <c r="C43" s="1" t="s">
        <v>128</v>
      </c>
      <c r="D43" s="1" t="s">
        <v>182</v>
      </c>
      <c r="E43" s="1">
        <v>14</v>
      </c>
      <c r="F43" s="1" t="s">
        <v>20</v>
      </c>
      <c r="G43" s="1" t="s">
        <v>183</v>
      </c>
      <c r="H43" s="3" t="s">
        <v>184</v>
      </c>
      <c r="I43" s="3" t="s">
        <v>185</v>
      </c>
      <c r="J43" s="3" t="s">
        <v>186</v>
      </c>
      <c r="K43" s="3" t="s">
        <v>57</v>
      </c>
      <c r="L43" s="3" t="s">
        <v>25</v>
      </c>
      <c r="M43" s="3" t="s">
        <v>26</v>
      </c>
      <c r="N43" s="4">
        <v>655</v>
      </c>
      <c r="O43" s="4">
        <v>196</v>
      </c>
      <c r="P43" s="4">
        <v>37.67</v>
      </c>
      <c r="Q43" s="4">
        <v>169.62</v>
      </c>
      <c r="R43" s="4">
        <v>251.71</v>
      </c>
      <c r="S43" s="21">
        <v>840</v>
      </c>
      <c r="T43" s="4">
        <v>705.88</v>
      </c>
      <c r="U43" s="4">
        <v>50.88</v>
      </c>
    </row>
    <row r="44" spans="1:21" x14ac:dyDescent="0.35">
      <c r="A44" t="s">
        <v>356</v>
      </c>
      <c r="B44">
        <v>202606</v>
      </c>
      <c r="C44" s="1" t="s">
        <v>128</v>
      </c>
      <c r="D44" s="1" t="s">
        <v>187</v>
      </c>
      <c r="E44" s="1">
        <v>10</v>
      </c>
      <c r="F44" s="1" t="s">
        <v>20</v>
      </c>
      <c r="G44" s="1" t="s">
        <v>188</v>
      </c>
      <c r="H44" s="3" t="s">
        <v>189</v>
      </c>
      <c r="I44" s="3" t="s">
        <v>190</v>
      </c>
      <c r="J44" s="3" t="s">
        <v>191</v>
      </c>
      <c r="K44" s="3" t="s">
        <v>192</v>
      </c>
      <c r="L44" s="3" t="s">
        <v>25</v>
      </c>
      <c r="M44" s="3" t="s">
        <v>26</v>
      </c>
      <c r="N44" s="4">
        <v>680</v>
      </c>
      <c r="O44" s="4">
        <v>196</v>
      </c>
      <c r="P44" s="4">
        <v>37.67</v>
      </c>
      <c r="Q44" s="4">
        <v>115.82</v>
      </c>
      <c r="R44" s="4">
        <v>330.51</v>
      </c>
      <c r="S44" s="21">
        <v>870</v>
      </c>
      <c r="T44" s="4">
        <v>731.09</v>
      </c>
      <c r="U44" s="4">
        <v>51.09</v>
      </c>
    </row>
    <row r="45" spans="1:21" x14ac:dyDescent="0.35">
      <c r="A45" t="s">
        <v>356</v>
      </c>
      <c r="B45">
        <v>202606</v>
      </c>
      <c r="C45" s="1" t="s">
        <v>128</v>
      </c>
      <c r="D45" s="1" t="s">
        <v>187</v>
      </c>
      <c r="E45" s="1">
        <v>10</v>
      </c>
      <c r="F45" s="1" t="s">
        <v>20</v>
      </c>
      <c r="G45" s="1" t="s">
        <v>193</v>
      </c>
      <c r="H45" s="3" t="s">
        <v>194</v>
      </c>
      <c r="I45" s="3" t="s">
        <v>195</v>
      </c>
      <c r="J45" s="3" t="s">
        <v>196</v>
      </c>
      <c r="K45" s="3" t="s">
        <v>197</v>
      </c>
      <c r="L45" s="3" t="s">
        <v>25</v>
      </c>
      <c r="M45" s="3" t="s">
        <v>26</v>
      </c>
      <c r="N45" s="4">
        <v>680</v>
      </c>
      <c r="O45" s="4">
        <v>196</v>
      </c>
      <c r="P45" s="4">
        <v>37.67</v>
      </c>
      <c r="Q45" s="4">
        <v>175</v>
      </c>
      <c r="R45" s="4">
        <v>271.33</v>
      </c>
      <c r="S45" s="21">
        <v>870</v>
      </c>
      <c r="T45" s="4">
        <v>731.09</v>
      </c>
      <c r="U45" s="4">
        <v>51.09</v>
      </c>
    </row>
    <row r="46" spans="1:21" x14ac:dyDescent="0.35">
      <c r="A46" t="s">
        <v>356</v>
      </c>
      <c r="B46">
        <v>202606</v>
      </c>
      <c r="C46" s="1" t="s">
        <v>128</v>
      </c>
      <c r="D46" s="1" t="s">
        <v>187</v>
      </c>
      <c r="E46" s="1">
        <v>10</v>
      </c>
      <c r="F46" s="1" t="s">
        <v>20</v>
      </c>
      <c r="G46" s="1" t="s">
        <v>198</v>
      </c>
      <c r="H46" s="3" t="s">
        <v>199</v>
      </c>
      <c r="I46" s="3" t="s">
        <v>200</v>
      </c>
      <c r="J46" s="3" t="s">
        <v>201</v>
      </c>
      <c r="K46" s="3" t="s">
        <v>202</v>
      </c>
      <c r="L46" s="3" t="s">
        <v>25</v>
      </c>
      <c r="M46" s="3" t="s">
        <v>26</v>
      </c>
      <c r="N46" s="4">
        <v>680</v>
      </c>
      <c r="O46" s="4">
        <v>196</v>
      </c>
      <c r="P46" s="4">
        <v>37.67</v>
      </c>
      <c r="Q46" s="4">
        <v>109.21</v>
      </c>
      <c r="R46" s="4">
        <v>337.12</v>
      </c>
      <c r="S46" s="21">
        <v>870</v>
      </c>
      <c r="T46" s="4">
        <v>731.09</v>
      </c>
      <c r="U46" s="4">
        <v>51.09</v>
      </c>
    </row>
    <row r="47" spans="1:21" x14ac:dyDescent="0.35">
      <c r="A47" t="s">
        <v>356</v>
      </c>
      <c r="B47">
        <v>202606</v>
      </c>
      <c r="C47" s="1" t="s">
        <v>128</v>
      </c>
      <c r="D47" s="1" t="s">
        <v>187</v>
      </c>
      <c r="E47" s="1">
        <v>10</v>
      </c>
      <c r="F47" s="1" t="s">
        <v>20</v>
      </c>
      <c r="G47" s="1" t="s">
        <v>193</v>
      </c>
      <c r="H47" s="3" t="s">
        <v>194</v>
      </c>
      <c r="I47" s="3" t="s">
        <v>195</v>
      </c>
      <c r="J47" s="3" t="s">
        <v>203</v>
      </c>
      <c r="K47" s="3" t="s">
        <v>204</v>
      </c>
      <c r="L47" s="3" t="s">
        <v>25</v>
      </c>
      <c r="M47" s="3" t="s">
        <v>26</v>
      </c>
      <c r="N47" s="4">
        <v>680</v>
      </c>
      <c r="O47" s="4">
        <v>196</v>
      </c>
      <c r="P47" s="4">
        <v>37.67</v>
      </c>
      <c r="Q47" s="4">
        <v>175</v>
      </c>
      <c r="R47" s="4">
        <v>271.33</v>
      </c>
      <c r="S47" s="21">
        <v>870</v>
      </c>
      <c r="T47" s="4">
        <v>731.09</v>
      </c>
      <c r="U47" s="4">
        <v>51.09</v>
      </c>
    </row>
    <row r="48" spans="1:21" x14ac:dyDescent="0.35">
      <c r="A48" t="s">
        <v>356</v>
      </c>
      <c r="B48">
        <v>202606</v>
      </c>
      <c r="C48" s="1" t="s">
        <v>128</v>
      </c>
      <c r="D48" s="1" t="s">
        <v>187</v>
      </c>
      <c r="E48" s="1">
        <v>10</v>
      </c>
      <c r="F48" s="1" t="s">
        <v>20</v>
      </c>
      <c r="G48" s="1" t="s">
        <v>205</v>
      </c>
      <c r="H48" s="3" t="s">
        <v>206</v>
      </c>
      <c r="I48" s="3" t="s">
        <v>205</v>
      </c>
      <c r="J48" s="3" t="s">
        <v>207</v>
      </c>
      <c r="K48" s="3" t="s">
        <v>208</v>
      </c>
      <c r="L48" s="3" t="s">
        <v>25</v>
      </c>
      <c r="M48" s="3" t="s">
        <v>26</v>
      </c>
      <c r="N48" s="4">
        <v>680</v>
      </c>
      <c r="O48" s="4">
        <v>196</v>
      </c>
      <c r="P48" s="4">
        <v>37.67</v>
      </c>
      <c r="Q48" s="4">
        <v>142.76</v>
      </c>
      <c r="R48" s="4">
        <v>303.57</v>
      </c>
      <c r="S48" s="21">
        <v>846</v>
      </c>
      <c r="T48" s="4">
        <v>710.92</v>
      </c>
      <c r="U48" s="4">
        <v>30.92</v>
      </c>
    </row>
    <row r="49" spans="1:21" x14ac:dyDescent="0.35">
      <c r="A49" t="s">
        <v>356</v>
      </c>
      <c r="B49">
        <v>202606</v>
      </c>
      <c r="C49" s="1" t="s">
        <v>128</v>
      </c>
      <c r="D49" s="1" t="s">
        <v>187</v>
      </c>
      <c r="E49" s="1">
        <v>10</v>
      </c>
      <c r="F49" s="1" t="s">
        <v>20</v>
      </c>
      <c r="G49" s="1" t="s">
        <v>209</v>
      </c>
      <c r="H49" s="3" t="s">
        <v>210</v>
      </c>
      <c r="I49" s="3" t="s">
        <v>209</v>
      </c>
      <c r="J49" s="3" t="s">
        <v>211</v>
      </c>
      <c r="K49" s="3" t="s">
        <v>57</v>
      </c>
      <c r="L49" s="3" t="s">
        <v>25</v>
      </c>
      <c r="M49" s="3" t="s">
        <v>26</v>
      </c>
      <c r="N49" s="4">
        <v>680</v>
      </c>
      <c r="O49" s="4">
        <v>196</v>
      </c>
      <c r="P49" s="4">
        <v>37.67</v>
      </c>
      <c r="Q49" s="4">
        <v>158.13</v>
      </c>
      <c r="R49" s="4">
        <v>288.2</v>
      </c>
      <c r="S49" s="21">
        <v>870</v>
      </c>
      <c r="T49" s="4">
        <v>731.09</v>
      </c>
      <c r="U49" s="4">
        <v>51.09</v>
      </c>
    </row>
    <row r="50" spans="1:21" x14ac:dyDescent="0.35">
      <c r="A50" t="s">
        <v>356</v>
      </c>
      <c r="B50">
        <v>202606</v>
      </c>
      <c r="C50" s="1" t="s">
        <v>128</v>
      </c>
      <c r="D50" s="1" t="s">
        <v>212</v>
      </c>
      <c r="E50" s="1">
        <v>12</v>
      </c>
      <c r="F50" s="1" t="s">
        <v>20</v>
      </c>
      <c r="G50" s="1" t="s">
        <v>213</v>
      </c>
      <c r="H50" s="3" t="s">
        <v>214</v>
      </c>
      <c r="I50" s="3" t="s">
        <v>215</v>
      </c>
      <c r="J50" s="3" t="s">
        <v>216</v>
      </c>
      <c r="K50" s="3" t="s">
        <v>217</v>
      </c>
      <c r="L50" s="3" t="s">
        <v>25</v>
      </c>
      <c r="M50" s="3" t="s">
        <v>26</v>
      </c>
      <c r="N50" s="4">
        <v>1018</v>
      </c>
      <c r="O50" s="4">
        <v>196</v>
      </c>
      <c r="P50" s="4">
        <v>37.67</v>
      </c>
      <c r="Q50" s="4">
        <v>226.83</v>
      </c>
      <c r="R50" s="4">
        <v>557.5</v>
      </c>
      <c r="S50" s="21">
        <v>1301</v>
      </c>
      <c r="T50" s="4">
        <v>1093.28</v>
      </c>
      <c r="U50" s="4">
        <v>75.28</v>
      </c>
    </row>
    <row r="51" spans="1:21" x14ac:dyDescent="0.35">
      <c r="A51" t="s">
        <v>356</v>
      </c>
      <c r="B51">
        <v>202606</v>
      </c>
      <c r="C51" s="1" t="s">
        <v>87</v>
      </c>
      <c r="D51" s="1" t="s">
        <v>122</v>
      </c>
      <c r="E51" s="1">
        <v>7</v>
      </c>
      <c r="F51" s="1" t="s">
        <v>20</v>
      </c>
      <c r="G51" s="1" t="s">
        <v>218</v>
      </c>
      <c r="H51" s="3" t="s">
        <v>219</v>
      </c>
      <c r="I51" s="3" t="s">
        <v>218</v>
      </c>
      <c r="J51" s="3" t="s">
        <v>220</v>
      </c>
      <c r="K51" s="3" t="s">
        <v>57</v>
      </c>
      <c r="L51" s="3" t="s">
        <v>25</v>
      </c>
      <c r="M51" s="3" t="s">
        <v>26</v>
      </c>
      <c r="N51" s="4">
        <v>605</v>
      </c>
      <c r="O51" s="4">
        <v>196</v>
      </c>
      <c r="P51" s="4">
        <v>37.67</v>
      </c>
      <c r="Q51" s="4">
        <v>108.03</v>
      </c>
      <c r="R51" s="4">
        <v>263.3</v>
      </c>
      <c r="S51" s="21">
        <v>780</v>
      </c>
      <c r="T51" s="4">
        <v>655.46</v>
      </c>
      <c r="U51" s="4">
        <v>50.46</v>
      </c>
    </row>
    <row r="52" spans="1:21" x14ac:dyDescent="0.35">
      <c r="A52" t="s">
        <v>356</v>
      </c>
      <c r="B52">
        <v>202606</v>
      </c>
      <c r="C52" s="1" t="s">
        <v>87</v>
      </c>
      <c r="D52" s="1" t="s">
        <v>122</v>
      </c>
      <c r="E52" s="1">
        <v>7</v>
      </c>
      <c r="F52" s="1" t="s">
        <v>20</v>
      </c>
      <c r="G52" s="1" t="s">
        <v>221</v>
      </c>
      <c r="H52" s="3" t="s">
        <v>222</v>
      </c>
      <c r="I52" s="3" t="s">
        <v>221</v>
      </c>
      <c r="J52" s="3" t="s">
        <v>223</v>
      </c>
      <c r="K52" s="3" t="s">
        <v>57</v>
      </c>
      <c r="L52" s="3" t="s">
        <v>25</v>
      </c>
      <c r="M52" s="3" t="s">
        <v>26</v>
      </c>
      <c r="N52" s="4">
        <v>605</v>
      </c>
      <c r="O52" s="4">
        <v>196</v>
      </c>
      <c r="P52" s="4">
        <v>37.67</v>
      </c>
      <c r="Q52" s="4">
        <v>115.55</v>
      </c>
      <c r="R52" s="4">
        <v>255.78</v>
      </c>
      <c r="S52" s="21">
        <v>780</v>
      </c>
      <c r="T52" s="4">
        <v>655.46</v>
      </c>
      <c r="U52" s="4">
        <v>50.46</v>
      </c>
    </row>
    <row r="53" spans="1:21" x14ac:dyDescent="0.35">
      <c r="A53" t="s">
        <v>356</v>
      </c>
      <c r="B53">
        <v>202606</v>
      </c>
      <c r="C53" s="1" t="s">
        <v>87</v>
      </c>
      <c r="D53" s="1" t="s">
        <v>224</v>
      </c>
      <c r="E53" s="1">
        <v>13</v>
      </c>
      <c r="F53" s="1" t="s">
        <v>20</v>
      </c>
      <c r="G53" s="1" t="s">
        <v>225</v>
      </c>
      <c r="H53" s="3" t="s">
        <v>226</v>
      </c>
      <c r="I53" s="3" t="s">
        <v>225</v>
      </c>
      <c r="J53" s="3" t="s">
        <v>227</v>
      </c>
      <c r="K53" s="3" t="s">
        <v>57</v>
      </c>
      <c r="L53" s="3" t="s">
        <v>25</v>
      </c>
      <c r="M53" s="3" t="s">
        <v>26</v>
      </c>
      <c r="N53" s="4">
        <v>617</v>
      </c>
      <c r="O53" s="4">
        <v>196</v>
      </c>
      <c r="P53" s="4">
        <v>0</v>
      </c>
      <c r="Q53" s="4">
        <v>164.93</v>
      </c>
      <c r="R53" s="4">
        <v>256.07</v>
      </c>
      <c r="S53" s="21">
        <v>789</v>
      </c>
      <c r="T53" s="4">
        <v>663.03</v>
      </c>
      <c r="U53" s="4">
        <v>46.03</v>
      </c>
    </row>
    <row r="54" spans="1:21" x14ac:dyDescent="0.35">
      <c r="A54" t="s">
        <v>356</v>
      </c>
      <c r="B54">
        <v>202606</v>
      </c>
      <c r="C54" s="1" t="s">
        <v>87</v>
      </c>
      <c r="D54" s="1" t="s">
        <v>224</v>
      </c>
      <c r="E54" s="1">
        <v>13</v>
      </c>
      <c r="F54" s="1" t="s">
        <v>20</v>
      </c>
      <c r="G54" s="1" t="s">
        <v>225</v>
      </c>
      <c r="H54" s="3" t="s">
        <v>226</v>
      </c>
      <c r="I54" s="3" t="s">
        <v>225</v>
      </c>
      <c r="J54" s="3" t="s">
        <v>228</v>
      </c>
      <c r="K54" s="3" t="s">
        <v>57</v>
      </c>
      <c r="L54" s="3" t="s">
        <v>25</v>
      </c>
      <c r="M54" s="3" t="s">
        <v>26</v>
      </c>
      <c r="N54" s="4">
        <v>617</v>
      </c>
      <c r="O54" s="4">
        <v>196</v>
      </c>
      <c r="P54" s="4">
        <v>0</v>
      </c>
      <c r="Q54" s="4">
        <v>164.93</v>
      </c>
      <c r="R54" s="4">
        <v>256.07</v>
      </c>
      <c r="S54" s="21">
        <v>789</v>
      </c>
      <c r="T54" s="4">
        <v>663.03</v>
      </c>
      <c r="U54" s="4">
        <v>46.03</v>
      </c>
    </row>
    <row r="55" spans="1:21" x14ac:dyDescent="0.35">
      <c r="A55" t="s">
        <v>356</v>
      </c>
      <c r="B55">
        <v>202606</v>
      </c>
      <c r="C55" s="1" t="s">
        <v>87</v>
      </c>
      <c r="D55" s="1" t="s">
        <v>229</v>
      </c>
      <c r="E55" s="1">
        <v>6</v>
      </c>
      <c r="F55" s="1" t="s">
        <v>20</v>
      </c>
      <c r="G55" s="1" t="s">
        <v>230</v>
      </c>
      <c r="H55" s="3" t="s">
        <v>231</v>
      </c>
      <c r="I55" s="3" t="s">
        <v>230</v>
      </c>
      <c r="J55" s="3" t="s">
        <v>232</v>
      </c>
      <c r="K55" s="3" t="s">
        <v>233</v>
      </c>
      <c r="L55" s="3" t="s">
        <v>25</v>
      </c>
      <c r="M55" s="3" t="s">
        <v>26</v>
      </c>
      <c r="N55" s="4">
        <v>600</v>
      </c>
      <c r="O55" s="4">
        <v>196</v>
      </c>
      <c r="P55" s="4">
        <v>0</v>
      </c>
      <c r="Q55" s="4">
        <v>361.23</v>
      </c>
      <c r="R55" s="4">
        <v>42.77</v>
      </c>
      <c r="S55" s="21">
        <v>757</v>
      </c>
      <c r="T55" s="4">
        <v>636.13</v>
      </c>
      <c r="U55" s="4">
        <v>36.130000000000003</v>
      </c>
    </row>
    <row r="56" spans="1:21" x14ac:dyDescent="0.35">
      <c r="A56" t="s">
        <v>356</v>
      </c>
      <c r="B56">
        <v>202606</v>
      </c>
      <c r="C56" s="1" t="s">
        <v>87</v>
      </c>
      <c r="D56" s="1" t="s">
        <v>224</v>
      </c>
      <c r="E56" s="1">
        <v>13</v>
      </c>
      <c r="F56" s="1" t="s">
        <v>20</v>
      </c>
      <c r="G56" s="1" t="s">
        <v>234</v>
      </c>
      <c r="H56" s="3" t="s">
        <v>235</v>
      </c>
      <c r="I56" s="3" t="s">
        <v>234</v>
      </c>
      <c r="J56" s="3" t="s">
        <v>236</v>
      </c>
      <c r="K56" s="3" t="s">
        <v>237</v>
      </c>
      <c r="L56" s="3" t="s">
        <v>25</v>
      </c>
      <c r="M56" s="3" t="s">
        <v>26</v>
      </c>
      <c r="N56" s="4">
        <v>617</v>
      </c>
      <c r="O56" s="4">
        <v>196</v>
      </c>
      <c r="P56" s="4">
        <v>0</v>
      </c>
      <c r="Q56" s="4">
        <v>123.16</v>
      </c>
      <c r="R56" s="4">
        <v>297.83999999999997</v>
      </c>
      <c r="S56" s="21">
        <v>794</v>
      </c>
      <c r="T56" s="4">
        <v>667.23</v>
      </c>
      <c r="U56" s="4">
        <v>50.23</v>
      </c>
    </row>
    <row r="57" spans="1:21" x14ac:dyDescent="0.35">
      <c r="A57" t="s">
        <v>356</v>
      </c>
      <c r="B57">
        <v>202606</v>
      </c>
      <c r="C57" s="1" t="s">
        <v>87</v>
      </c>
      <c r="D57" s="1" t="s">
        <v>229</v>
      </c>
      <c r="E57" s="1">
        <v>6</v>
      </c>
      <c r="F57" s="1" t="s">
        <v>20</v>
      </c>
      <c r="G57" s="1" t="s">
        <v>238</v>
      </c>
      <c r="H57" s="3" t="s">
        <v>239</v>
      </c>
      <c r="I57" s="3" t="s">
        <v>238</v>
      </c>
      <c r="J57" s="3" t="s">
        <v>240</v>
      </c>
      <c r="K57" s="3" t="s">
        <v>241</v>
      </c>
      <c r="L57" s="3" t="s">
        <v>25</v>
      </c>
      <c r="M57" s="3" t="s">
        <v>26</v>
      </c>
      <c r="N57" s="4">
        <v>600</v>
      </c>
      <c r="O57" s="4">
        <v>196</v>
      </c>
      <c r="P57" s="4">
        <v>0</v>
      </c>
      <c r="Q57" s="4">
        <v>158.49</v>
      </c>
      <c r="R57" s="4">
        <v>245.51</v>
      </c>
      <c r="S57" s="21">
        <v>780</v>
      </c>
      <c r="T57" s="4">
        <v>655.46</v>
      </c>
      <c r="U57" s="4">
        <v>55.46</v>
      </c>
    </row>
    <row r="58" spans="1:21" x14ac:dyDescent="0.35">
      <c r="A58" t="s">
        <v>356</v>
      </c>
      <c r="B58">
        <v>202606</v>
      </c>
      <c r="C58" s="1" t="s">
        <v>87</v>
      </c>
      <c r="D58" s="1" t="s">
        <v>122</v>
      </c>
      <c r="E58" s="1">
        <v>7</v>
      </c>
      <c r="F58" s="1" t="s">
        <v>20</v>
      </c>
      <c r="G58" s="1" t="s">
        <v>242</v>
      </c>
      <c r="H58" s="3" t="s">
        <v>243</v>
      </c>
      <c r="I58" s="3" t="s">
        <v>244</v>
      </c>
      <c r="J58" s="3" t="s">
        <v>245</v>
      </c>
      <c r="K58" s="3" t="s">
        <v>246</v>
      </c>
      <c r="L58" s="3" t="s">
        <v>25</v>
      </c>
      <c r="M58" s="3" t="s">
        <v>26</v>
      </c>
      <c r="N58" s="4">
        <v>605</v>
      </c>
      <c r="O58" s="4">
        <v>196</v>
      </c>
      <c r="P58" s="4">
        <v>37.67</v>
      </c>
      <c r="Q58" s="4">
        <v>89.8</v>
      </c>
      <c r="R58" s="4">
        <v>281.52999999999997</v>
      </c>
      <c r="S58" s="21">
        <v>780</v>
      </c>
      <c r="T58" s="4">
        <v>655.46</v>
      </c>
      <c r="U58" s="4">
        <v>50.46</v>
      </c>
    </row>
    <row r="59" spans="1:21" x14ac:dyDescent="0.35">
      <c r="A59" t="s">
        <v>356</v>
      </c>
      <c r="B59">
        <v>202606</v>
      </c>
      <c r="C59" s="1" t="s">
        <v>87</v>
      </c>
      <c r="D59" s="1" t="s">
        <v>224</v>
      </c>
      <c r="E59" s="1">
        <v>13</v>
      </c>
      <c r="F59" s="1" t="s">
        <v>20</v>
      </c>
      <c r="G59" s="1" t="s">
        <v>247</v>
      </c>
      <c r="H59" s="3" t="s">
        <v>248</v>
      </c>
      <c r="I59" s="3" t="s">
        <v>249</v>
      </c>
      <c r="J59" s="3" t="s">
        <v>250</v>
      </c>
      <c r="K59" s="3" t="s">
        <v>251</v>
      </c>
      <c r="L59" s="3" t="s">
        <v>25</v>
      </c>
      <c r="M59" s="3" t="s">
        <v>26</v>
      </c>
      <c r="N59" s="4">
        <v>617</v>
      </c>
      <c r="O59" s="4">
        <v>196</v>
      </c>
      <c r="P59" s="4">
        <v>0</v>
      </c>
      <c r="Q59" s="4">
        <v>194.92</v>
      </c>
      <c r="R59" s="4">
        <v>226.08</v>
      </c>
      <c r="S59" s="21">
        <v>667</v>
      </c>
      <c r="T59" s="4">
        <v>0</v>
      </c>
      <c r="U59" s="4">
        <v>-617</v>
      </c>
    </row>
    <row r="60" spans="1:21" x14ac:dyDescent="0.35">
      <c r="A60" t="s">
        <v>356</v>
      </c>
      <c r="B60">
        <v>202606</v>
      </c>
      <c r="C60" s="1" t="s">
        <v>87</v>
      </c>
      <c r="D60" s="1" t="s">
        <v>229</v>
      </c>
      <c r="E60" s="1">
        <v>6</v>
      </c>
      <c r="F60" s="1" t="s">
        <v>20</v>
      </c>
      <c r="G60" s="1" t="s">
        <v>252</v>
      </c>
      <c r="H60" s="3" t="s">
        <v>253</v>
      </c>
      <c r="I60" s="3" t="s">
        <v>254</v>
      </c>
      <c r="J60" s="3" t="s">
        <v>255</v>
      </c>
      <c r="K60" s="3" t="s">
        <v>256</v>
      </c>
      <c r="L60" s="3" t="s">
        <v>25</v>
      </c>
      <c r="M60" s="3" t="s">
        <v>26</v>
      </c>
      <c r="N60" s="4">
        <v>617</v>
      </c>
      <c r="O60" s="4">
        <v>196</v>
      </c>
      <c r="P60" s="4">
        <v>0</v>
      </c>
      <c r="Q60" s="4">
        <v>240.35</v>
      </c>
      <c r="R60" s="4">
        <v>180.65</v>
      </c>
      <c r="S60" s="21">
        <v>777</v>
      </c>
      <c r="T60" s="4">
        <v>652.94000000000005</v>
      </c>
      <c r="U60" s="4">
        <v>35.94</v>
      </c>
    </row>
    <row r="61" spans="1:21" x14ac:dyDescent="0.35">
      <c r="A61" t="s">
        <v>356</v>
      </c>
      <c r="B61">
        <v>202606</v>
      </c>
      <c r="C61" s="1" t="s">
        <v>87</v>
      </c>
      <c r="D61" s="1" t="s">
        <v>224</v>
      </c>
      <c r="E61" s="1">
        <v>13</v>
      </c>
      <c r="F61" s="1" t="s">
        <v>20</v>
      </c>
      <c r="G61" s="1" t="s">
        <v>257</v>
      </c>
      <c r="H61" s="3" t="s">
        <v>258</v>
      </c>
      <c r="I61" s="3" t="s">
        <v>259</v>
      </c>
      <c r="J61" s="3" t="s">
        <v>260</v>
      </c>
      <c r="K61" s="3" t="s">
        <v>261</v>
      </c>
      <c r="L61" s="3" t="s">
        <v>25</v>
      </c>
      <c r="M61" s="3" t="s">
        <v>26</v>
      </c>
      <c r="N61" s="4">
        <v>617</v>
      </c>
      <c r="O61" s="4">
        <v>196</v>
      </c>
      <c r="P61" s="4">
        <v>0</v>
      </c>
      <c r="Q61" s="4">
        <v>143.87</v>
      </c>
      <c r="R61" s="4">
        <v>277.13</v>
      </c>
      <c r="S61" s="21">
        <v>794</v>
      </c>
      <c r="T61" s="4">
        <v>667.23</v>
      </c>
      <c r="U61" s="4">
        <v>50.23</v>
      </c>
    </row>
    <row r="62" spans="1:21" x14ac:dyDescent="0.35">
      <c r="A62" t="s">
        <v>356</v>
      </c>
      <c r="B62">
        <v>202606</v>
      </c>
      <c r="C62" s="1" t="s">
        <v>87</v>
      </c>
      <c r="D62" s="1" t="s">
        <v>229</v>
      </c>
      <c r="E62" s="1">
        <v>6</v>
      </c>
      <c r="F62" s="1" t="s">
        <v>20</v>
      </c>
      <c r="G62" s="1" t="s">
        <v>262</v>
      </c>
      <c r="H62" s="3" t="s">
        <v>263</v>
      </c>
      <c r="I62" s="3" t="s">
        <v>262</v>
      </c>
      <c r="J62" s="3" t="s">
        <v>264</v>
      </c>
      <c r="K62" s="3" t="s">
        <v>265</v>
      </c>
      <c r="L62" s="3" t="s">
        <v>25</v>
      </c>
      <c r="M62" s="3" t="s">
        <v>26</v>
      </c>
      <c r="N62" s="4">
        <v>617</v>
      </c>
      <c r="O62" s="4">
        <v>196</v>
      </c>
      <c r="P62" s="4">
        <v>0</v>
      </c>
      <c r="Q62" s="4">
        <v>312.38</v>
      </c>
      <c r="R62" s="4">
        <v>108.62</v>
      </c>
      <c r="S62" s="21">
        <v>795</v>
      </c>
      <c r="T62" s="4">
        <v>668.07</v>
      </c>
      <c r="U62" s="4">
        <v>51.07</v>
      </c>
    </row>
    <row r="63" spans="1:21" x14ac:dyDescent="0.35">
      <c r="A63" t="s">
        <v>356</v>
      </c>
      <c r="B63">
        <v>202606</v>
      </c>
      <c r="C63" s="1" t="s">
        <v>87</v>
      </c>
      <c r="D63" s="1" t="s">
        <v>122</v>
      </c>
      <c r="E63" s="1">
        <v>7</v>
      </c>
      <c r="F63" s="1" t="s">
        <v>20</v>
      </c>
      <c r="G63" s="1" t="s">
        <v>266</v>
      </c>
      <c r="H63" s="3" t="s">
        <v>267</v>
      </c>
      <c r="I63" s="3" t="s">
        <v>266</v>
      </c>
      <c r="J63" s="3" t="s">
        <v>268</v>
      </c>
      <c r="K63" s="3" t="s">
        <v>57</v>
      </c>
      <c r="L63" s="3" t="s">
        <v>25</v>
      </c>
      <c r="M63" s="3" t="s">
        <v>26</v>
      </c>
      <c r="N63" s="4">
        <v>600</v>
      </c>
      <c r="O63" s="4">
        <v>196</v>
      </c>
      <c r="P63" s="4">
        <v>0</v>
      </c>
      <c r="Q63" s="4">
        <v>247.86</v>
      </c>
      <c r="R63" s="4">
        <v>156.13999999999999</v>
      </c>
      <c r="S63" s="21">
        <v>769</v>
      </c>
      <c r="T63" s="4">
        <v>646.22</v>
      </c>
      <c r="U63" s="4">
        <v>46.22</v>
      </c>
    </row>
    <row r="64" spans="1:21" x14ac:dyDescent="0.35">
      <c r="A64" t="s">
        <v>356</v>
      </c>
      <c r="B64">
        <v>202606</v>
      </c>
      <c r="C64" s="1" t="s">
        <v>87</v>
      </c>
      <c r="D64" s="1" t="s">
        <v>224</v>
      </c>
      <c r="E64" s="1">
        <v>13</v>
      </c>
      <c r="F64" s="1" t="s">
        <v>20</v>
      </c>
      <c r="G64" s="1" t="s">
        <v>269</v>
      </c>
      <c r="H64" s="3" t="s">
        <v>270</v>
      </c>
      <c r="I64" s="3" t="s">
        <v>269</v>
      </c>
      <c r="J64" s="3" t="s">
        <v>271</v>
      </c>
      <c r="K64" s="3" t="s">
        <v>272</v>
      </c>
      <c r="L64" s="3" t="s">
        <v>25</v>
      </c>
      <c r="M64" s="3" t="s">
        <v>26</v>
      </c>
      <c r="N64" s="4">
        <v>617</v>
      </c>
      <c r="O64" s="4">
        <v>196</v>
      </c>
      <c r="P64" s="4">
        <v>0</v>
      </c>
      <c r="Q64" s="4">
        <v>153.99</v>
      </c>
      <c r="R64" s="4">
        <v>267.01</v>
      </c>
      <c r="S64" s="21">
        <v>763</v>
      </c>
      <c r="T64" s="4">
        <v>641.17999999999995</v>
      </c>
      <c r="U64" s="4">
        <v>24.18</v>
      </c>
    </row>
    <row r="65" spans="1:21" x14ac:dyDescent="0.35">
      <c r="A65" t="s">
        <v>356</v>
      </c>
      <c r="B65">
        <v>202606</v>
      </c>
      <c r="C65" s="1" t="s">
        <v>87</v>
      </c>
      <c r="D65" s="1" t="s">
        <v>224</v>
      </c>
      <c r="E65" s="1">
        <v>13</v>
      </c>
      <c r="F65" s="1" t="s">
        <v>20</v>
      </c>
      <c r="G65" s="1" t="s">
        <v>273</v>
      </c>
      <c r="H65" s="3" t="s">
        <v>274</v>
      </c>
      <c r="I65" s="3" t="s">
        <v>275</v>
      </c>
      <c r="J65" s="3" t="s">
        <v>276</v>
      </c>
      <c r="K65" s="3" t="s">
        <v>277</v>
      </c>
      <c r="L65" s="3" t="s">
        <v>25</v>
      </c>
      <c r="M65" s="3" t="s">
        <v>26</v>
      </c>
      <c r="N65" s="4">
        <v>617</v>
      </c>
      <c r="O65" s="4">
        <v>196</v>
      </c>
      <c r="P65" s="4">
        <v>0</v>
      </c>
      <c r="Q65" s="4">
        <v>148.24</v>
      </c>
      <c r="R65" s="4">
        <v>272.76</v>
      </c>
      <c r="S65" s="21">
        <v>795</v>
      </c>
      <c r="T65" s="4">
        <v>668.07</v>
      </c>
      <c r="U65" s="4">
        <v>51.07</v>
      </c>
    </row>
    <row r="66" spans="1:21" x14ac:dyDescent="0.35">
      <c r="A66" t="s">
        <v>356</v>
      </c>
      <c r="B66">
        <v>202606</v>
      </c>
      <c r="C66" s="1" t="s">
        <v>87</v>
      </c>
      <c r="D66" s="1" t="s">
        <v>122</v>
      </c>
      <c r="E66" s="1">
        <v>7</v>
      </c>
      <c r="F66" s="1" t="s">
        <v>20</v>
      </c>
      <c r="G66" s="1" t="s">
        <v>278</v>
      </c>
      <c r="H66" s="3" t="s">
        <v>279</v>
      </c>
      <c r="I66" s="3" t="s">
        <v>280</v>
      </c>
      <c r="J66" s="3" t="s">
        <v>281</v>
      </c>
      <c r="K66" s="3" t="s">
        <v>57</v>
      </c>
      <c r="L66" s="3" t="s">
        <v>25</v>
      </c>
      <c r="M66" s="3" t="s">
        <v>26</v>
      </c>
      <c r="N66" s="4">
        <v>600</v>
      </c>
      <c r="O66" s="4">
        <v>196</v>
      </c>
      <c r="P66" s="4">
        <v>0</v>
      </c>
      <c r="Q66" s="4">
        <v>434.79</v>
      </c>
      <c r="R66" s="4">
        <v>-30.79</v>
      </c>
      <c r="S66" s="21">
        <v>774</v>
      </c>
      <c r="T66" s="4">
        <v>650.41999999999996</v>
      </c>
      <c r="U66" s="4">
        <v>50.42</v>
      </c>
    </row>
    <row r="67" spans="1:21" x14ac:dyDescent="0.35">
      <c r="A67" t="s">
        <v>356</v>
      </c>
      <c r="B67">
        <v>202606</v>
      </c>
      <c r="C67" s="1" t="s">
        <v>87</v>
      </c>
      <c r="D67" s="1" t="s">
        <v>224</v>
      </c>
      <c r="E67" s="1">
        <v>13</v>
      </c>
      <c r="F67" s="1" t="s">
        <v>20</v>
      </c>
      <c r="G67" s="1" t="s">
        <v>269</v>
      </c>
      <c r="H67" s="3" t="s">
        <v>270</v>
      </c>
      <c r="I67" s="3" t="s">
        <v>269</v>
      </c>
      <c r="J67" s="3" t="s">
        <v>282</v>
      </c>
      <c r="K67" s="3" t="s">
        <v>283</v>
      </c>
      <c r="L67" s="3" t="s">
        <v>25</v>
      </c>
      <c r="M67" s="3" t="s">
        <v>26</v>
      </c>
      <c r="N67" s="4">
        <v>617</v>
      </c>
      <c r="O67" s="4">
        <v>196</v>
      </c>
      <c r="P67" s="4">
        <v>0</v>
      </c>
      <c r="Q67" s="4">
        <v>153.99</v>
      </c>
      <c r="R67" s="4">
        <v>267.01</v>
      </c>
      <c r="S67" s="21">
        <v>795</v>
      </c>
      <c r="T67" s="4">
        <v>668.07</v>
      </c>
      <c r="U67" s="4">
        <v>51.07</v>
      </c>
    </row>
    <row r="68" spans="1:21" x14ac:dyDescent="0.35">
      <c r="A68" t="s">
        <v>356</v>
      </c>
      <c r="B68">
        <v>202606</v>
      </c>
      <c r="C68" s="1" t="s">
        <v>87</v>
      </c>
      <c r="D68" s="1" t="s">
        <v>122</v>
      </c>
      <c r="E68" s="1">
        <v>7</v>
      </c>
      <c r="F68" s="1" t="s">
        <v>20</v>
      </c>
      <c r="G68" s="1" t="s">
        <v>284</v>
      </c>
      <c r="H68" s="3" t="s">
        <v>285</v>
      </c>
      <c r="I68" s="3" t="s">
        <v>284</v>
      </c>
      <c r="J68" s="3" t="s">
        <v>286</v>
      </c>
      <c r="K68" s="3" t="s">
        <v>57</v>
      </c>
      <c r="L68" s="3" t="s">
        <v>25</v>
      </c>
      <c r="M68" s="3" t="s">
        <v>26</v>
      </c>
      <c r="N68" s="4">
        <v>600</v>
      </c>
      <c r="O68" s="4">
        <v>196</v>
      </c>
      <c r="P68" s="4">
        <v>0</v>
      </c>
      <c r="Q68" s="4">
        <v>552.48</v>
      </c>
      <c r="R68" s="4">
        <v>-148.47999999999999</v>
      </c>
      <c r="S68" s="21">
        <v>762</v>
      </c>
      <c r="T68" s="4">
        <v>640.34</v>
      </c>
      <c r="U68" s="4">
        <v>40.340000000000003</v>
      </c>
    </row>
    <row r="69" spans="1:21" x14ac:dyDescent="0.35">
      <c r="A69" t="s">
        <v>356</v>
      </c>
      <c r="B69">
        <v>202606</v>
      </c>
      <c r="C69" s="1" t="s">
        <v>87</v>
      </c>
      <c r="D69" s="1" t="s">
        <v>122</v>
      </c>
      <c r="E69" s="1">
        <v>7</v>
      </c>
      <c r="F69" s="1" t="s">
        <v>20</v>
      </c>
      <c r="G69" s="1" t="s">
        <v>287</v>
      </c>
      <c r="H69" s="3" t="s">
        <v>288</v>
      </c>
      <c r="I69" s="3" t="s">
        <v>289</v>
      </c>
      <c r="J69" s="3" t="s">
        <v>290</v>
      </c>
      <c r="K69" s="3" t="s">
        <v>291</v>
      </c>
      <c r="L69" s="3" t="s">
        <v>25</v>
      </c>
      <c r="M69" s="3" t="s">
        <v>26</v>
      </c>
      <c r="N69" s="4">
        <v>605</v>
      </c>
      <c r="O69" s="4">
        <v>196</v>
      </c>
      <c r="P69" s="4">
        <v>0</v>
      </c>
      <c r="Q69" s="4">
        <v>149.35</v>
      </c>
      <c r="R69" s="4">
        <v>259.64999999999998</v>
      </c>
      <c r="S69" s="21">
        <v>780</v>
      </c>
      <c r="T69" s="4">
        <v>655.46</v>
      </c>
      <c r="U69" s="4">
        <v>50.46</v>
      </c>
    </row>
    <row r="70" spans="1:21" x14ac:dyDescent="0.35">
      <c r="A70" t="s">
        <v>356</v>
      </c>
      <c r="B70">
        <v>202606</v>
      </c>
      <c r="C70" s="1" t="s">
        <v>87</v>
      </c>
      <c r="D70" s="1" t="s">
        <v>122</v>
      </c>
      <c r="E70" s="1">
        <v>7</v>
      </c>
      <c r="F70" s="1" t="s">
        <v>20</v>
      </c>
      <c r="G70" s="1" t="s">
        <v>292</v>
      </c>
      <c r="H70" s="3" t="s">
        <v>293</v>
      </c>
      <c r="I70" s="3" t="s">
        <v>294</v>
      </c>
      <c r="J70" s="3" t="s">
        <v>295</v>
      </c>
      <c r="K70" s="3" t="s">
        <v>296</v>
      </c>
      <c r="L70" s="3" t="s">
        <v>25</v>
      </c>
      <c r="M70" s="3" t="s">
        <v>26</v>
      </c>
      <c r="N70" s="4">
        <v>605</v>
      </c>
      <c r="O70" s="4">
        <v>196</v>
      </c>
      <c r="P70" s="4">
        <v>0</v>
      </c>
      <c r="Q70" s="4">
        <v>107.76</v>
      </c>
      <c r="R70" s="4">
        <v>301.24</v>
      </c>
      <c r="S70" s="21">
        <v>780</v>
      </c>
      <c r="T70" s="4">
        <v>655.46</v>
      </c>
      <c r="U70" s="4">
        <v>50.46</v>
      </c>
    </row>
    <row r="71" spans="1:21" x14ac:dyDescent="0.35">
      <c r="A71" t="s">
        <v>356</v>
      </c>
      <c r="B71">
        <v>202606</v>
      </c>
      <c r="C71" s="1" t="s">
        <v>87</v>
      </c>
      <c r="D71" s="1" t="s">
        <v>88</v>
      </c>
      <c r="E71" s="1">
        <v>5</v>
      </c>
      <c r="F71" s="1" t="s">
        <v>20</v>
      </c>
      <c r="G71" s="1" t="s">
        <v>297</v>
      </c>
      <c r="H71" s="3" t="s">
        <v>298</v>
      </c>
      <c r="I71" s="3" t="s">
        <v>297</v>
      </c>
      <c r="J71" s="3" t="s">
        <v>299</v>
      </c>
      <c r="K71" s="3" t="s">
        <v>300</v>
      </c>
      <c r="L71" s="3" t="s">
        <v>25</v>
      </c>
      <c r="M71" s="3" t="s">
        <v>26</v>
      </c>
      <c r="N71" s="4">
        <v>605</v>
      </c>
      <c r="O71" s="4">
        <v>196</v>
      </c>
      <c r="P71" s="4">
        <v>0</v>
      </c>
      <c r="Q71" s="4">
        <v>219.46</v>
      </c>
      <c r="R71" s="4">
        <v>189.54</v>
      </c>
      <c r="S71" s="21">
        <v>779</v>
      </c>
      <c r="T71" s="4">
        <v>654.62</v>
      </c>
      <c r="U71" s="4">
        <v>49.62</v>
      </c>
    </row>
    <row r="72" spans="1:21" x14ac:dyDescent="0.35">
      <c r="A72" t="s">
        <v>356</v>
      </c>
      <c r="B72">
        <v>202606</v>
      </c>
      <c r="C72" s="1" t="s">
        <v>87</v>
      </c>
      <c r="D72" s="1" t="s">
        <v>229</v>
      </c>
      <c r="E72" s="1">
        <v>6</v>
      </c>
      <c r="F72" s="1" t="s">
        <v>20</v>
      </c>
      <c r="G72" s="1" t="s">
        <v>252</v>
      </c>
      <c r="H72" s="3" t="s">
        <v>253</v>
      </c>
      <c r="I72" s="3" t="s">
        <v>254</v>
      </c>
      <c r="J72" s="3" t="s">
        <v>301</v>
      </c>
      <c r="K72" s="3" t="s">
        <v>302</v>
      </c>
      <c r="L72" s="3" t="s">
        <v>25</v>
      </c>
      <c r="M72" s="3" t="s">
        <v>26</v>
      </c>
      <c r="N72" s="4">
        <v>617</v>
      </c>
      <c r="O72" s="4">
        <v>196</v>
      </c>
      <c r="P72" s="4">
        <v>37.67</v>
      </c>
      <c r="Q72" s="4">
        <v>240.35</v>
      </c>
      <c r="R72" s="4">
        <v>142.97999999999999</v>
      </c>
      <c r="S72" s="21">
        <v>777</v>
      </c>
      <c r="T72" s="4">
        <v>652.94000000000005</v>
      </c>
      <c r="U72" s="4">
        <v>35.94</v>
      </c>
    </row>
    <row r="73" spans="1:21" x14ac:dyDescent="0.35">
      <c r="A73" t="s">
        <v>356</v>
      </c>
      <c r="B73">
        <v>202606</v>
      </c>
      <c r="C73" s="1" t="s">
        <v>128</v>
      </c>
      <c r="D73" s="1" t="s">
        <v>140</v>
      </c>
      <c r="E73" s="1">
        <v>9</v>
      </c>
      <c r="F73" s="1" t="s">
        <v>303</v>
      </c>
      <c r="G73" s="1" t="s">
        <v>304</v>
      </c>
      <c r="H73" s="3" t="s">
        <v>305</v>
      </c>
      <c r="I73" t="s">
        <v>304</v>
      </c>
      <c r="J73" s="3" t="s">
        <v>305</v>
      </c>
      <c r="K73" s="3" t="s">
        <v>305</v>
      </c>
      <c r="L73" s="3" t="s">
        <v>305</v>
      </c>
      <c r="M73" s="3" t="s">
        <v>305</v>
      </c>
      <c r="N73" s="3" t="s">
        <v>305</v>
      </c>
      <c r="O73" s="3" t="s">
        <v>305</v>
      </c>
      <c r="P73" s="3" t="s">
        <v>305</v>
      </c>
      <c r="Q73" s="3" t="s">
        <v>305</v>
      </c>
      <c r="R73" s="3" t="s">
        <v>305</v>
      </c>
      <c r="S73" s="11">
        <v>1170</v>
      </c>
      <c r="T73" s="3" t="s">
        <v>305</v>
      </c>
      <c r="U73" s="3" t="s">
        <v>305</v>
      </c>
    </row>
    <row r="74" spans="1:21" x14ac:dyDescent="0.35">
      <c r="A74" t="s">
        <v>356</v>
      </c>
      <c r="B74">
        <v>202606</v>
      </c>
      <c r="C74" s="1" t="s">
        <v>128</v>
      </c>
      <c r="D74" s="1" t="s">
        <v>140</v>
      </c>
      <c r="E74" s="1">
        <v>9</v>
      </c>
      <c r="F74" s="1" t="s">
        <v>306</v>
      </c>
      <c r="G74" s="1" t="s">
        <v>161</v>
      </c>
      <c r="H74" s="3" t="s">
        <v>305</v>
      </c>
      <c r="I74" t="s">
        <v>161</v>
      </c>
      <c r="J74" s="3" t="s">
        <v>305</v>
      </c>
      <c r="K74" s="3" t="s">
        <v>305</v>
      </c>
      <c r="L74" s="3" t="s">
        <v>305</v>
      </c>
      <c r="M74" s="3" t="s">
        <v>305</v>
      </c>
      <c r="N74" s="3" t="s">
        <v>305</v>
      </c>
      <c r="O74" s="3" t="s">
        <v>305</v>
      </c>
      <c r="P74" s="3" t="s">
        <v>305</v>
      </c>
      <c r="Q74" s="3" t="s">
        <v>305</v>
      </c>
      <c r="R74" s="3" t="s">
        <v>305</v>
      </c>
      <c r="S74" s="11">
        <v>822</v>
      </c>
      <c r="T74" s="3" t="s">
        <v>305</v>
      </c>
      <c r="U74" s="3" t="s">
        <v>305</v>
      </c>
    </row>
    <row r="75" spans="1:21" x14ac:dyDescent="0.35">
      <c r="A75" t="s">
        <v>356</v>
      </c>
      <c r="B75">
        <v>202606</v>
      </c>
      <c r="C75" s="1" t="s">
        <v>27</v>
      </c>
      <c r="D75" s="1" t="s">
        <v>28</v>
      </c>
      <c r="E75" s="1">
        <v>15</v>
      </c>
      <c r="F75" s="1" t="s">
        <v>306</v>
      </c>
      <c r="G75" s="1" t="s">
        <v>29</v>
      </c>
      <c r="H75" s="3" t="s">
        <v>305</v>
      </c>
      <c r="I75" t="s">
        <v>29</v>
      </c>
      <c r="J75" s="3" t="s">
        <v>305</v>
      </c>
      <c r="K75" s="3" t="s">
        <v>305</v>
      </c>
      <c r="L75" s="3" t="s">
        <v>305</v>
      </c>
      <c r="M75" s="3" t="s">
        <v>305</v>
      </c>
      <c r="N75" s="3" t="s">
        <v>305</v>
      </c>
      <c r="O75" s="3" t="s">
        <v>305</v>
      </c>
      <c r="P75" s="3" t="s">
        <v>305</v>
      </c>
      <c r="Q75" s="3" t="s">
        <v>305</v>
      </c>
      <c r="R75" s="3" t="s">
        <v>305</v>
      </c>
      <c r="S75" s="11">
        <v>900</v>
      </c>
      <c r="T75" s="3" t="s">
        <v>305</v>
      </c>
      <c r="U75" s="3" t="s">
        <v>305</v>
      </c>
    </row>
    <row r="76" spans="1:21" x14ac:dyDescent="0.35">
      <c r="A76" t="s">
        <v>356</v>
      </c>
      <c r="B76">
        <v>202606</v>
      </c>
      <c r="C76" s="1" t="s">
        <v>27</v>
      </c>
      <c r="D76" s="1" t="s">
        <v>68</v>
      </c>
      <c r="E76" s="1">
        <v>3</v>
      </c>
      <c r="F76" s="1" t="s">
        <v>306</v>
      </c>
      <c r="G76" s="1" t="s">
        <v>72</v>
      </c>
      <c r="H76" s="3" t="s">
        <v>305</v>
      </c>
      <c r="I76" t="s">
        <v>72</v>
      </c>
      <c r="J76" s="3" t="s">
        <v>305</v>
      </c>
      <c r="K76" s="3" t="s">
        <v>305</v>
      </c>
      <c r="L76" s="3" t="s">
        <v>305</v>
      </c>
      <c r="M76" s="3" t="s">
        <v>305</v>
      </c>
      <c r="N76" s="3" t="s">
        <v>305</v>
      </c>
      <c r="O76" s="3" t="s">
        <v>305</v>
      </c>
      <c r="P76" s="3" t="s">
        <v>305</v>
      </c>
      <c r="Q76" s="3" t="s">
        <v>305</v>
      </c>
      <c r="R76" s="3" t="s">
        <v>305</v>
      </c>
      <c r="S76" s="11">
        <v>905</v>
      </c>
      <c r="T76" s="3" t="s">
        <v>305</v>
      </c>
      <c r="U76" s="3" t="s">
        <v>305</v>
      </c>
    </row>
    <row r="77" spans="1:21" x14ac:dyDescent="0.35">
      <c r="A77" t="s">
        <v>356</v>
      </c>
      <c r="B77">
        <v>202606</v>
      </c>
      <c r="C77" s="1" t="s">
        <v>128</v>
      </c>
      <c r="D77" s="1" t="s">
        <v>129</v>
      </c>
      <c r="E77" s="1">
        <v>8</v>
      </c>
      <c r="F77" s="1" t="s">
        <v>306</v>
      </c>
      <c r="G77" s="1" t="s">
        <v>307</v>
      </c>
      <c r="H77" s="3" t="s">
        <v>305</v>
      </c>
      <c r="I77" t="s">
        <v>307</v>
      </c>
      <c r="J77" s="3" t="s">
        <v>305</v>
      </c>
      <c r="K77" s="3" t="s">
        <v>305</v>
      </c>
      <c r="L77" s="3" t="s">
        <v>305</v>
      </c>
      <c r="M77" s="3" t="s">
        <v>305</v>
      </c>
      <c r="N77" s="3" t="s">
        <v>305</v>
      </c>
      <c r="O77" s="3" t="s">
        <v>305</v>
      </c>
      <c r="P77" s="3" t="s">
        <v>305</v>
      </c>
      <c r="Q77" s="3" t="s">
        <v>305</v>
      </c>
      <c r="R77" s="3" t="s">
        <v>305</v>
      </c>
      <c r="S77" s="11">
        <v>835</v>
      </c>
      <c r="T77" s="3" t="s">
        <v>305</v>
      </c>
      <c r="U77" s="3" t="s">
        <v>305</v>
      </c>
    </row>
    <row r="78" spans="1:21" x14ac:dyDescent="0.35">
      <c r="A78" t="s">
        <v>356</v>
      </c>
      <c r="B78">
        <v>202606</v>
      </c>
      <c r="C78" s="1" t="s">
        <v>27</v>
      </c>
      <c r="D78" s="1" t="s">
        <v>82</v>
      </c>
      <c r="E78" s="1">
        <v>4</v>
      </c>
      <c r="F78" s="1" t="s">
        <v>306</v>
      </c>
      <c r="G78" s="1" t="s">
        <v>308</v>
      </c>
      <c r="H78" s="3" t="s">
        <v>305</v>
      </c>
      <c r="I78" t="s">
        <v>308</v>
      </c>
      <c r="J78" s="3" t="s">
        <v>305</v>
      </c>
      <c r="K78" s="3" t="s">
        <v>305</v>
      </c>
      <c r="L78" s="3" t="s">
        <v>305</v>
      </c>
      <c r="M78" s="3" t="s">
        <v>305</v>
      </c>
      <c r="N78" s="3" t="s">
        <v>305</v>
      </c>
      <c r="O78" s="3" t="s">
        <v>305</v>
      </c>
      <c r="P78" s="3" t="s">
        <v>305</v>
      </c>
      <c r="Q78" s="3" t="s">
        <v>305</v>
      </c>
      <c r="R78" s="3" t="s">
        <v>305</v>
      </c>
      <c r="S78" s="11">
        <v>837</v>
      </c>
      <c r="T78" s="3" t="s">
        <v>305</v>
      </c>
      <c r="U78" s="3" t="s">
        <v>305</v>
      </c>
    </row>
    <row r="79" spans="1:21" x14ac:dyDescent="0.35">
      <c r="A79" t="s">
        <v>356</v>
      </c>
      <c r="B79">
        <v>202606</v>
      </c>
      <c r="C79" s="1" t="s">
        <v>128</v>
      </c>
      <c r="D79" s="1" t="s">
        <v>187</v>
      </c>
      <c r="E79" s="1">
        <v>10</v>
      </c>
      <c r="F79" s="1" t="s">
        <v>309</v>
      </c>
      <c r="G79" s="1" t="s">
        <v>198</v>
      </c>
      <c r="H79" s="3" t="s">
        <v>305</v>
      </c>
      <c r="I79" t="s">
        <v>198</v>
      </c>
      <c r="J79" s="3" t="s">
        <v>305</v>
      </c>
      <c r="K79" s="3" t="s">
        <v>305</v>
      </c>
      <c r="L79" s="3" t="s">
        <v>305</v>
      </c>
      <c r="M79" s="3" t="s">
        <v>305</v>
      </c>
      <c r="N79" s="3" t="s">
        <v>305</v>
      </c>
      <c r="O79" s="3" t="s">
        <v>305</v>
      </c>
      <c r="P79" s="3" t="s">
        <v>305</v>
      </c>
      <c r="Q79" s="3" t="s">
        <v>305</v>
      </c>
      <c r="R79" s="3" t="s">
        <v>305</v>
      </c>
      <c r="S79" s="11">
        <v>952</v>
      </c>
      <c r="T79" s="3" t="s">
        <v>305</v>
      </c>
      <c r="U79" s="3" t="s">
        <v>305</v>
      </c>
    </row>
    <row r="80" spans="1:21" x14ac:dyDescent="0.35">
      <c r="A80" t="s">
        <v>356</v>
      </c>
      <c r="B80">
        <v>202606</v>
      </c>
      <c r="C80" s="1" t="s">
        <v>128</v>
      </c>
      <c r="D80" s="1" t="s">
        <v>187</v>
      </c>
      <c r="E80" s="1">
        <v>10</v>
      </c>
      <c r="F80" s="1" t="s">
        <v>306</v>
      </c>
      <c r="G80" s="1" t="s">
        <v>188</v>
      </c>
      <c r="H80" s="3" t="s">
        <v>305</v>
      </c>
      <c r="I80" t="s">
        <v>188</v>
      </c>
      <c r="J80" s="3" t="s">
        <v>305</v>
      </c>
      <c r="K80" s="3" t="s">
        <v>305</v>
      </c>
      <c r="L80" s="3" t="s">
        <v>305</v>
      </c>
      <c r="M80" s="3" t="s">
        <v>305</v>
      </c>
      <c r="N80" s="3" t="s">
        <v>305</v>
      </c>
      <c r="O80" s="3" t="s">
        <v>305</v>
      </c>
      <c r="P80" s="3" t="s">
        <v>305</v>
      </c>
      <c r="Q80" s="3" t="s">
        <v>305</v>
      </c>
      <c r="R80" s="3" t="s">
        <v>305</v>
      </c>
      <c r="S80" s="11">
        <v>900</v>
      </c>
      <c r="T80" s="3" t="s">
        <v>305</v>
      </c>
      <c r="U80" s="3" t="s">
        <v>305</v>
      </c>
    </row>
    <row r="81" spans="1:21" x14ac:dyDescent="0.35">
      <c r="A81" t="s">
        <v>356</v>
      </c>
      <c r="B81">
        <v>202606</v>
      </c>
      <c r="C81" s="1" t="s">
        <v>128</v>
      </c>
      <c r="D81" s="1" t="s">
        <v>182</v>
      </c>
      <c r="E81" s="1">
        <v>14</v>
      </c>
      <c r="F81" s="1" t="s">
        <v>310</v>
      </c>
      <c r="G81" s="1" t="s">
        <v>311</v>
      </c>
      <c r="H81" s="3" t="s">
        <v>305</v>
      </c>
      <c r="I81" t="s">
        <v>311</v>
      </c>
      <c r="J81" s="3" t="s">
        <v>305</v>
      </c>
      <c r="K81" s="3" t="s">
        <v>305</v>
      </c>
      <c r="L81" s="3" t="s">
        <v>305</v>
      </c>
      <c r="M81" s="3" t="s">
        <v>305</v>
      </c>
      <c r="N81" s="3" t="s">
        <v>305</v>
      </c>
      <c r="O81" s="3" t="s">
        <v>305</v>
      </c>
      <c r="P81" s="3" t="s">
        <v>305</v>
      </c>
      <c r="Q81" s="3" t="s">
        <v>305</v>
      </c>
      <c r="R81" s="3" t="s">
        <v>305</v>
      </c>
      <c r="S81" s="11">
        <v>855</v>
      </c>
      <c r="T81" s="3" t="s">
        <v>305</v>
      </c>
      <c r="U81" s="3" t="s">
        <v>305</v>
      </c>
    </row>
    <row r="82" spans="1:21" x14ac:dyDescent="0.35">
      <c r="A82" t="s">
        <v>356</v>
      </c>
      <c r="B82">
        <v>202606</v>
      </c>
      <c r="C82" s="1" t="s">
        <v>128</v>
      </c>
      <c r="D82" s="1" t="s">
        <v>182</v>
      </c>
      <c r="E82" s="1">
        <v>14</v>
      </c>
      <c r="F82" s="1" t="s">
        <v>306</v>
      </c>
      <c r="G82" s="1" t="s">
        <v>183</v>
      </c>
      <c r="H82" s="3" t="s">
        <v>305</v>
      </c>
      <c r="I82" t="s">
        <v>312</v>
      </c>
      <c r="J82" s="3" t="s">
        <v>305</v>
      </c>
      <c r="K82" s="3" t="s">
        <v>305</v>
      </c>
      <c r="L82" s="3" t="s">
        <v>305</v>
      </c>
      <c r="M82" s="3" t="s">
        <v>305</v>
      </c>
      <c r="N82" s="3" t="s">
        <v>305</v>
      </c>
      <c r="O82" s="3" t="s">
        <v>305</v>
      </c>
      <c r="P82" s="3" t="s">
        <v>305</v>
      </c>
      <c r="Q82" s="3" t="s">
        <v>305</v>
      </c>
      <c r="R82" s="3" t="s">
        <v>305</v>
      </c>
      <c r="S82" s="11">
        <v>830</v>
      </c>
      <c r="T82" s="3" t="s">
        <v>305</v>
      </c>
      <c r="U82" s="3" t="s">
        <v>305</v>
      </c>
    </row>
    <row r="83" spans="1:21" x14ac:dyDescent="0.35">
      <c r="A83" t="s">
        <v>356</v>
      </c>
      <c r="B83">
        <v>202606</v>
      </c>
      <c r="C83" s="1" t="s">
        <v>87</v>
      </c>
      <c r="D83" s="1" t="s">
        <v>122</v>
      </c>
      <c r="E83" s="1">
        <v>7</v>
      </c>
      <c r="F83" s="1" t="s">
        <v>306</v>
      </c>
      <c r="G83" s="1" t="s">
        <v>313</v>
      </c>
      <c r="H83" s="3" t="s">
        <v>305</v>
      </c>
      <c r="I83" t="s">
        <v>313</v>
      </c>
      <c r="J83" s="3" t="s">
        <v>305</v>
      </c>
      <c r="K83" s="3" t="s">
        <v>305</v>
      </c>
      <c r="L83" s="3" t="s">
        <v>305</v>
      </c>
      <c r="M83" s="3" t="s">
        <v>305</v>
      </c>
      <c r="N83" s="3" t="s">
        <v>305</v>
      </c>
      <c r="O83" s="3" t="s">
        <v>305</v>
      </c>
      <c r="P83" s="3" t="s">
        <v>305</v>
      </c>
      <c r="Q83" s="3" t="s">
        <v>305</v>
      </c>
      <c r="R83" s="3" t="s">
        <v>305</v>
      </c>
      <c r="S83" s="11">
        <v>799</v>
      </c>
      <c r="T83" s="3" t="s">
        <v>305</v>
      </c>
      <c r="U83" s="3" t="s">
        <v>305</v>
      </c>
    </row>
    <row r="84" spans="1:21" x14ac:dyDescent="0.35">
      <c r="A84" t="s">
        <v>356</v>
      </c>
      <c r="B84">
        <v>202606</v>
      </c>
      <c r="C84" s="1" t="s">
        <v>87</v>
      </c>
      <c r="D84" s="1" t="s">
        <v>122</v>
      </c>
      <c r="E84" s="1">
        <v>7</v>
      </c>
      <c r="F84" s="1" t="s">
        <v>306</v>
      </c>
      <c r="G84" s="1" t="s">
        <v>314</v>
      </c>
      <c r="H84" s="3" t="s">
        <v>305</v>
      </c>
      <c r="I84" t="s">
        <v>314</v>
      </c>
      <c r="J84" s="3" t="s">
        <v>305</v>
      </c>
      <c r="K84" s="3" t="s">
        <v>305</v>
      </c>
      <c r="L84" s="3" t="s">
        <v>305</v>
      </c>
      <c r="M84" s="3" t="s">
        <v>305</v>
      </c>
      <c r="N84" s="3" t="s">
        <v>305</v>
      </c>
      <c r="O84" s="3" t="s">
        <v>305</v>
      </c>
      <c r="P84" s="3" t="s">
        <v>305</v>
      </c>
      <c r="Q84" s="3" t="s">
        <v>305</v>
      </c>
      <c r="R84" s="3" t="s">
        <v>305</v>
      </c>
      <c r="S84" s="11">
        <v>699</v>
      </c>
      <c r="T84" s="3" t="s">
        <v>305</v>
      </c>
      <c r="U84" s="3" t="s">
        <v>305</v>
      </c>
    </row>
    <row r="85" spans="1:21" x14ac:dyDescent="0.35">
      <c r="A85" t="s">
        <v>356</v>
      </c>
      <c r="B85">
        <v>202606</v>
      </c>
      <c r="C85" s="1" t="s">
        <v>87</v>
      </c>
      <c r="D85" s="1" t="s">
        <v>122</v>
      </c>
      <c r="E85" s="1">
        <v>7</v>
      </c>
      <c r="F85" s="1" t="s">
        <v>306</v>
      </c>
      <c r="G85" s="1" t="s">
        <v>314</v>
      </c>
      <c r="H85" s="3" t="s">
        <v>305</v>
      </c>
      <c r="I85" t="s">
        <v>314</v>
      </c>
      <c r="J85" s="3" t="s">
        <v>305</v>
      </c>
      <c r="K85" s="3" t="s">
        <v>305</v>
      </c>
      <c r="L85" s="3" t="s">
        <v>305</v>
      </c>
      <c r="M85" s="3" t="s">
        <v>305</v>
      </c>
      <c r="N85" s="3" t="s">
        <v>305</v>
      </c>
      <c r="O85" s="3" t="s">
        <v>305</v>
      </c>
      <c r="P85" s="3" t="s">
        <v>305</v>
      </c>
      <c r="Q85" s="3" t="s">
        <v>305</v>
      </c>
      <c r="R85" s="3" t="s">
        <v>305</v>
      </c>
      <c r="S85" s="11">
        <v>810</v>
      </c>
      <c r="T85" s="3" t="s">
        <v>305</v>
      </c>
      <c r="U85" s="3" t="s">
        <v>305</v>
      </c>
    </row>
    <row r="86" spans="1:21" x14ac:dyDescent="0.35">
      <c r="A86" t="s">
        <v>356</v>
      </c>
      <c r="B86">
        <v>202606</v>
      </c>
      <c r="C86" s="1" t="s">
        <v>87</v>
      </c>
      <c r="D86" s="1" t="s">
        <v>224</v>
      </c>
      <c r="E86" s="1">
        <v>13</v>
      </c>
      <c r="F86" s="1" t="s">
        <v>306</v>
      </c>
      <c r="G86" s="1" t="s">
        <v>315</v>
      </c>
      <c r="H86" s="3" t="s">
        <v>305</v>
      </c>
      <c r="I86" t="s">
        <v>315</v>
      </c>
      <c r="J86" s="3" t="s">
        <v>305</v>
      </c>
      <c r="K86" s="3" t="s">
        <v>305</v>
      </c>
      <c r="L86" s="3" t="s">
        <v>305</v>
      </c>
      <c r="M86" s="3" t="s">
        <v>305</v>
      </c>
      <c r="N86" s="3" t="s">
        <v>305</v>
      </c>
      <c r="O86" s="3" t="s">
        <v>305</v>
      </c>
      <c r="P86" s="3" t="s">
        <v>305</v>
      </c>
      <c r="Q86" s="3" t="s">
        <v>305</v>
      </c>
      <c r="R86" s="3" t="s">
        <v>305</v>
      </c>
      <c r="S86" s="11">
        <v>815</v>
      </c>
      <c r="T86" s="3" t="s">
        <v>305</v>
      </c>
      <c r="U86" s="3" t="s">
        <v>305</v>
      </c>
    </row>
    <row r="87" spans="1:21" x14ac:dyDescent="0.35">
      <c r="A87" t="s">
        <v>356</v>
      </c>
      <c r="B87">
        <v>202606</v>
      </c>
      <c r="C87" s="1" t="s">
        <v>87</v>
      </c>
      <c r="D87" s="1" t="s">
        <v>224</v>
      </c>
      <c r="E87" s="1">
        <v>13</v>
      </c>
      <c r="F87" s="1" t="s">
        <v>306</v>
      </c>
      <c r="G87" s="1" t="s">
        <v>316</v>
      </c>
      <c r="H87" s="3" t="s">
        <v>305</v>
      </c>
      <c r="I87" t="s">
        <v>316</v>
      </c>
      <c r="J87" s="3" t="s">
        <v>305</v>
      </c>
      <c r="K87" s="3" t="s">
        <v>305</v>
      </c>
      <c r="L87" s="3" t="s">
        <v>305</v>
      </c>
      <c r="M87" s="3" t="s">
        <v>305</v>
      </c>
      <c r="N87" s="3" t="s">
        <v>305</v>
      </c>
      <c r="O87" s="3" t="s">
        <v>305</v>
      </c>
      <c r="P87" s="3" t="s">
        <v>305</v>
      </c>
      <c r="Q87" s="3" t="s">
        <v>305</v>
      </c>
      <c r="R87" s="3" t="s">
        <v>305</v>
      </c>
      <c r="S87" s="11">
        <v>810</v>
      </c>
      <c r="T87" s="3" t="s">
        <v>305</v>
      </c>
      <c r="U87" s="3" t="s">
        <v>305</v>
      </c>
    </row>
    <row r="88" spans="1:21" x14ac:dyDescent="0.35">
      <c r="A88" t="s">
        <v>356</v>
      </c>
      <c r="B88">
        <v>202606</v>
      </c>
      <c r="C88" s="1" t="s">
        <v>87</v>
      </c>
      <c r="D88" s="1" t="s">
        <v>224</v>
      </c>
      <c r="E88" s="1">
        <v>13</v>
      </c>
      <c r="F88" s="1" t="s">
        <v>306</v>
      </c>
      <c r="G88" s="1" t="s">
        <v>269</v>
      </c>
      <c r="H88" s="3" t="s">
        <v>305</v>
      </c>
      <c r="I88" t="s">
        <v>269</v>
      </c>
      <c r="J88" s="3" t="s">
        <v>305</v>
      </c>
      <c r="K88" s="3" t="s">
        <v>305</v>
      </c>
      <c r="L88" s="3" t="s">
        <v>305</v>
      </c>
      <c r="M88" s="3" t="s">
        <v>305</v>
      </c>
      <c r="N88" s="3" t="s">
        <v>305</v>
      </c>
      <c r="O88" s="3" t="s">
        <v>305</v>
      </c>
      <c r="P88" s="3" t="s">
        <v>305</v>
      </c>
      <c r="Q88" s="3" t="s">
        <v>305</v>
      </c>
      <c r="R88" s="3" t="s">
        <v>305</v>
      </c>
      <c r="S88" s="11">
        <v>793</v>
      </c>
      <c r="T88" s="3" t="s">
        <v>305</v>
      </c>
      <c r="U88" s="3" t="s">
        <v>305</v>
      </c>
    </row>
    <row r="89" spans="1:21" x14ac:dyDescent="0.35">
      <c r="A89" t="s">
        <v>356</v>
      </c>
      <c r="B89">
        <v>202606</v>
      </c>
      <c r="C89" s="1" t="s">
        <v>87</v>
      </c>
      <c r="D89" s="1" t="s">
        <v>117</v>
      </c>
      <c r="E89" s="1">
        <v>16</v>
      </c>
      <c r="F89" s="1" t="s">
        <v>309</v>
      </c>
      <c r="G89" s="1" t="s">
        <v>118</v>
      </c>
      <c r="H89" s="3" t="s">
        <v>305</v>
      </c>
      <c r="I89" t="s">
        <v>118</v>
      </c>
      <c r="J89" s="3" t="s">
        <v>305</v>
      </c>
      <c r="K89" s="3" t="s">
        <v>305</v>
      </c>
      <c r="L89" s="3" t="s">
        <v>305</v>
      </c>
      <c r="M89" s="3" t="s">
        <v>305</v>
      </c>
      <c r="N89" s="3" t="s">
        <v>305</v>
      </c>
      <c r="O89" s="3" t="s">
        <v>305</v>
      </c>
      <c r="P89" s="3" t="s">
        <v>305</v>
      </c>
      <c r="Q89" s="3" t="s">
        <v>305</v>
      </c>
      <c r="R89" s="3" t="s">
        <v>305</v>
      </c>
      <c r="S89" s="11">
        <v>862</v>
      </c>
      <c r="T89" s="3" t="s">
        <v>305</v>
      </c>
      <c r="U89" s="3" t="s">
        <v>305</v>
      </c>
    </row>
    <row r="90" spans="1:21" x14ac:dyDescent="0.35">
      <c r="A90" t="s">
        <v>356</v>
      </c>
      <c r="B90">
        <v>202606</v>
      </c>
      <c r="C90" s="1" t="s">
        <v>87</v>
      </c>
      <c r="D90" s="1" t="s">
        <v>117</v>
      </c>
      <c r="E90" s="1">
        <v>16</v>
      </c>
      <c r="F90" s="1" t="s">
        <v>306</v>
      </c>
      <c r="G90" s="1" t="s">
        <v>317</v>
      </c>
      <c r="H90" s="3" t="s">
        <v>305</v>
      </c>
      <c r="I90" t="s">
        <v>317</v>
      </c>
      <c r="J90" s="3" t="s">
        <v>305</v>
      </c>
      <c r="K90" s="3" t="s">
        <v>305</v>
      </c>
      <c r="L90" s="3" t="s">
        <v>305</v>
      </c>
      <c r="M90" s="3" t="s">
        <v>305</v>
      </c>
      <c r="N90" s="3" t="s">
        <v>305</v>
      </c>
      <c r="O90" s="3" t="s">
        <v>305</v>
      </c>
      <c r="P90" s="3" t="s">
        <v>305</v>
      </c>
      <c r="Q90" s="3" t="s">
        <v>305</v>
      </c>
      <c r="R90" s="3" t="s">
        <v>305</v>
      </c>
      <c r="S90" s="11">
        <v>810</v>
      </c>
      <c r="T90" s="3" t="s">
        <v>305</v>
      </c>
      <c r="U90" s="3" t="s">
        <v>305</v>
      </c>
    </row>
    <row r="91" spans="1:21" x14ac:dyDescent="0.35">
      <c r="A91" t="s">
        <v>356</v>
      </c>
      <c r="B91">
        <v>202606</v>
      </c>
      <c r="C91" s="1" t="s">
        <v>87</v>
      </c>
      <c r="D91" s="1" t="s">
        <v>117</v>
      </c>
      <c r="E91" s="1">
        <v>16</v>
      </c>
      <c r="F91" s="1" t="s">
        <v>306</v>
      </c>
      <c r="G91" s="1" t="s">
        <v>118</v>
      </c>
      <c r="H91" s="3" t="s">
        <v>305</v>
      </c>
      <c r="I91" t="s">
        <v>118</v>
      </c>
      <c r="J91" s="3" t="s">
        <v>305</v>
      </c>
      <c r="K91" s="3" t="s">
        <v>305</v>
      </c>
      <c r="L91" s="3" t="s">
        <v>305</v>
      </c>
      <c r="M91" s="3" t="s">
        <v>305</v>
      </c>
      <c r="N91" s="3" t="s">
        <v>305</v>
      </c>
      <c r="O91" s="3" t="s">
        <v>305</v>
      </c>
      <c r="P91" s="3" t="s">
        <v>305</v>
      </c>
      <c r="Q91" s="3" t="s">
        <v>305</v>
      </c>
      <c r="R91" s="3" t="s">
        <v>305</v>
      </c>
      <c r="S91" s="11">
        <v>719</v>
      </c>
      <c r="T91" s="3" t="s">
        <v>305</v>
      </c>
      <c r="U91" s="3" t="s">
        <v>305</v>
      </c>
    </row>
    <row r="92" spans="1:21" x14ac:dyDescent="0.35">
      <c r="A92" t="s">
        <v>356</v>
      </c>
      <c r="B92">
        <v>202606</v>
      </c>
      <c r="C92" s="1" t="s">
        <v>87</v>
      </c>
      <c r="D92" s="1" t="s">
        <v>229</v>
      </c>
      <c r="E92" s="1">
        <v>6</v>
      </c>
      <c r="F92" s="1" t="s">
        <v>306</v>
      </c>
      <c r="G92" s="1" t="s">
        <v>252</v>
      </c>
      <c r="H92" s="3" t="s">
        <v>305</v>
      </c>
      <c r="I92" t="s">
        <v>318</v>
      </c>
      <c r="J92" s="3" t="s">
        <v>305</v>
      </c>
      <c r="K92" s="3" t="s">
        <v>305</v>
      </c>
      <c r="L92" s="3" t="s">
        <v>305</v>
      </c>
      <c r="M92" s="3" t="s">
        <v>305</v>
      </c>
      <c r="N92" s="3" t="s">
        <v>305</v>
      </c>
      <c r="O92" s="3" t="s">
        <v>305</v>
      </c>
      <c r="P92" s="3" t="s">
        <v>305</v>
      </c>
      <c r="Q92" s="3" t="s">
        <v>305</v>
      </c>
      <c r="R92" s="3" t="s">
        <v>305</v>
      </c>
      <c r="S92" s="11">
        <v>777</v>
      </c>
      <c r="T92" s="3" t="s">
        <v>305</v>
      </c>
      <c r="U92" s="3" t="s">
        <v>305</v>
      </c>
    </row>
    <row r="93" spans="1:21" x14ac:dyDescent="0.35">
      <c r="A93" t="s">
        <v>356</v>
      </c>
      <c r="B93">
        <v>202606</v>
      </c>
      <c r="C93" s="1" t="s">
        <v>87</v>
      </c>
      <c r="D93" s="1" t="s">
        <v>88</v>
      </c>
      <c r="E93" s="1">
        <v>5</v>
      </c>
      <c r="F93" s="1" t="s">
        <v>309</v>
      </c>
      <c r="G93" s="1" t="s">
        <v>89</v>
      </c>
      <c r="H93" s="3" t="s">
        <v>305</v>
      </c>
      <c r="I93" t="s">
        <v>89</v>
      </c>
      <c r="J93" s="3" t="s">
        <v>305</v>
      </c>
      <c r="K93" s="3" t="s">
        <v>305</v>
      </c>
      <c r="L93" s="3" t="s">
        <v>305</v>
      </c>
      <c r="M93" s="3" t="s">
        <v>305</v>
      </c>
      <c r="N93" s="3" t="s">
        <v>305</v>
      </c>
      <c r="O93" s="3" t="s">
        <v>305</v>
      </c>
      <c r="P93" s="3" t="s">
        <v>305</v>
      </c>
      <c r="Q93" s="3" t="s">
        <v>305</v>
      </c>
      <c r="R93" s="3" t="s">
        <v>305</v>
      </c>
      <c r="S93" s="11">
        <v>864</v>
      </c>
      <c r="T93" s="3" t="s">
        <v>305</v>
      </c>
      <c r="U93" s="3" t="s">
        <v>305</v>
      </c>
    </row>
    <row r="94" spans="1:21" x14ac:dyDescent="0.35">
      <c r="A94" t="s">
        <v>356</v>
      </c>
      <c r="B94">
        <v>202606</v>
      </c>
      <c r="C94" s="1" t="s">
        <v>87</v>
      </c>
      <c r="D94" s="1" t="s">
        <v>88</v>
      </c>
      <c r="E94" s="1">
        <v>5</v>
      </c>
      <c r="F94" s="1" t="s">
        <v>306</v>
      </c>
      <c r="G94" s="1" t="s">
        <v>297</v>
      </c>
      <c r="H94" s="3" t="s">
        <v>305</v>
      </c>
      <c r="I94" t="s">
        <v>297</v>
      </c>
      <c r="J94" s="3" t="s">
        <v>305</v>
      </c>
      <c r="K94" s="3" t="s">
        <v>305</v>
      </c>
      <c r="L94" s="3" t="s">
        <v>305</v>
      </c>
      <c r="M94" s="3" t="s">
        <v>305</v>
      </c>
      <c r="N94" s="3" t="s">
        <v>305</v>
      </c>
      <c r="O94" s="3" t="s">
        <v>305</v>
      </c>
      <c r="P94" s="3" t="s">
        <v>305</v>
      </c>
      <c r="Q94" s="3" t="s">
        <v>305</v>
      </c>
      <c r="R94" s="3" t="s">
        <v>305</v>
      </c>
      <c r="S94" s="11">
        <v>719</v>
      </c>
      <c r="T94" s="3" t="s">
        <v>305</v>
      </c>
      <c r="U94" s="3" t="s">
        <v>305</v>
      </c>
    </row>
    <row r="95" spans="1:21" x14ac:dyDescent="0.35">
      <c r="A95" t="s">
        <v>356</v>
      </c>
      <c r="B95">
        <v>202606</v>
      </c>
      <c r="C95" s="1" t="s">
        <v>87</v>
      </c>
      <c r="D95" s="1" t="s">
        <v>88</v>
      </c>
      <c r="E95" s="1">
        <v>5</v>
      </c>
      <c r="F95" s="1" t="s">
        <v>306</v>
      </c>
      <c r="G95" s="1" t="s">
        <v>319</v>
      </c>
      <c r="H95" s="3" t="s">
        <v>305</v>
      </c>
      <c r="I95" t="s">
        <v>319</v>
      </c>
      <c r="J95" s="3" t="s">
        <v>305</v>
      </c>
      <c r="K95" s="3" t="s">
        <v>305</v>
      </c>
      <c r="L95" s="3" t="s">
        <v>305</v>
      </c>
      <c r="M95" s="3" t="s">
        <v>305</v>
      </c>
      <c r="N95" s="3" t="s">
        <v>305</v>
      </c>
      <c r="O95" s="3" t="s">
        <v>305</v>
      </c>
      <c r="P95" s="3" t="s">
        <v>305</v>
      </c>
      <c r="Q95" s="3" t="s">
        <v>305</v>
      </c>
      <c r="R95" s="3" t="s">
        <v>305</v>
      </c>
      <c r="S95" s="11">
        <v>809</v>
      </c>
      <c r="T95" s="3" t="s">
        <v>305</v>
      </c>
      <c r="U95" s="3" t="s">
        <v>305</v>
      </c>
    </row>
    <row r="96" spans="1:21" x14ac:dyDescent="0.35">
      <c r="A96" t="s">
        <v>356</v>
      </c>
      <c r="B96">
        <v>202606</v>
      </c>
      <c r="C96" s="1" t="s">
        <v>87</v>
      </c>
      <c r="D96" s="1" t="s">
        <v>88</v>
      </c>
      <c r="E96" s="1">
        <v>5</v>
      </c>
      <c r="F96" s="1" t="s">
        <v>306</v>
      </c>
      <c r="G96" s="1" t="s">
        <v>113</v>
      </c>
      <c r="H96" s="3" t="s">
        <v>305</v>
      </c>
      <c r="I96" t="s">
        <v>113</v>
      </c>
      <c r="J96" s="3" t="s">
        <v>305</v>
      </c>
      <c r="K96" s="3" t="s">
        <v>305</v>
      </c>
      <c r="L96" s="3" t="s">
        <v>305</v>
      </c>
      <c r="M96" s="3" t="s">
        <v>305</v>
      </c>
      <c r="N96" s="3" t="s">
        <v>305</v>
      </c>
      <c r="O96" s="3" t="s">
        <v>305</v>
      </c>
      <c r="P96" s="3" t="s">
        <v>305</v>
      </c>
      <c r="Q96" s="3" t="s">
        <v>305</v>
      </c>
      <c r="R96" s="3" t="s">
        <v>305</v>
      </c>
      <c r="S96" s="11">
        <v>833</v>
      </c>
      <c r="T96" s="3" t="s">
        <v>305</v>
      </c>
      <c r="U96" s="3" t="s">
        <v>305</v>
      </c>
    </row>
    <row r="97" spans="1:21" x14ac:dyDescent="0.35">
      <c r="A97" t="s">
        <v>356</v>
      </c>
      <c r="B97">
        <v>202606</v>
      </c>
      <c r="C97" s="1" t="s">
        <v>87</v>
      </c>
      <c r="D97" s="1" t="s">
        <v>88</v>
      </c>
      <c r="E97" s="1">
        <v>5</v>
      </c>
      <c r="F97" s="1" t="s">
        <v>306</v>
      </c>
      <c r="G97" s="1" t="s">
        <v>89</v>
      </c>
      <c r="H97" s="3" t="s">
        <v>305</v>
      </c>
      <c r="I97" t="s">
        <v>89</v>
      </c>
      <c r="J97" s="3" t="s">
        <v>305</v>
      </c>
      <c r="K97" s="3" t="s">
        <v>305</v>
      </c>
      <c r="L97" s="3" t="s">
        <v>305</v>
      </c>
      <c r="M97" s="3" t="s">
        <v>305</v>
      </c>
      <c r="N97" s="3" t="s">
        <v>305</v>
      </c>
      <c r="O97" s="3" t="s">
        <v>305</v>
      </c>
      <c r="P97" s="3" t="s">
        <v>305</v>
      </c>
      <c r="Q97" s="3" t="s">
        <v>305</v>
      </c>
      <c r="R97" s="3" t="s">
        <v>305</v>
      </c>
      <c r="S97" s="11">
        <v>798</v>
      </c>
      <c r="T97" s="3" t="s">
        <v>305</v>
      </c>
      <c r="U97" s="3" t="s">
        <v>305</v>
      </c>
    </row>
    <row r="98" spans="1:21" x14ac:dyDescent="0.35">
      <c r="A98" t="s">
        <v>356</v>
      </c>
      <c r="B98">
        <v>202606</v>
      </c>
      <c r="C98" s="1" t="s">
        <v>27</v>
      </c>
      <c r="D98" s="1" t="s">
        <v>68</v>
      </c>
      <c r="E98" s="1">
        <v>3</v>
      </c>
      <c r="F98" s="1" t="s">
        <v>306</v>
      </c>
      <c r="G98" s="1" t="s">
        <v>76</v>
      </c>
      <c r="H98" s="3" t="s">
        <v>305</v>
      </c>
      <c r="I98" t="s">
        <v>320</v>
      </c>
      <c r="J98" s="3" t="s">
        <v>305</v>
      </c>
      <c r="K98" s="3" t="s">
        <v>305</v>
      </c>
      <c r="L98" s="3" t="s">
        <v>305</v>
      </c>
      <c r="M98" s="3" t="s">
        <v>305</v>
      </c>
      <c r="N98" s="3" t="s">
        <v>305</v>
      </c>
      <c r="O98" s="3" t="s">
        <v>305</v>
      </c>
      <c r="P98" s="3" t="s">
        <v>305</v>
      </c>
      <c r="Q98" s="3" t="s">
        <v>305</v>
      </c>
      <c r="R98" s="3" t="s">
        <v>305</v>
      </c>
      <c r="S98" s="3">
        <v>897</v>
      </c>
      <c r="T98" s="3" t="s">
        <v>305</v>
      </c>
      <c r="U98" s="3" t="s">
        <v>305</v>
      </c>
    </row>
    <row r="99" spans="1:21" x14ac:dyDescent="0.35">
      <c r="A99" t="s">
        <v>356</v>
      </c>
      <c r="B99">
        <v>202606</v>
      </c>
      <c r="C99" s="1" t="s">
        <v>27</v>
      </c>
      <c r="D99" s="1" t="s">
        <v>38</v>
      </c>
      <c r="E99" s="1">
        <v>2</v>
      </c>
      <c r="F99" s="1" t="s">
        <v>306</v>
      </c>
      <c r="G99" s="1" t="s">
        <v>39</v>
      </c>
      <c r="H99" s="3" t="s">
        <v>305</v>
      </c>
      <c r="I99" t="s">
        <v>38</v>
      </c>
      <c r="J99" s="3" t="s">
        <v>305</v>
      </c>
      <c r="K99" s="3" t="s">
        <v>305</v>
      </c>
      <c r="L99" s="3" t="s">
        <v>305</v>
      </c>
      <c r="M99" s="3" t="s">
        <v>305</v>
      </c>
      <c r="N99" s="3" t="s">
        <v>305</v>
      </c>
      <c r="O99" s="3" t="s">
        <v>305</v>
      </c>
      <c r="P99" s="3" t="s">
        <v>305</v>
      </c>
      <c r="Q99" s="3" t="s">
        <v>305</v>
      </c>
      <c r="R99" s="3" t="s">
        <v>305</v>
      </c>
      <c r="S99" s="3">
        <v>890</v>
      </c>
      <c r="T99" s="3" t="s">
        <v>305</v>
      </c>
      <c r="U99" s="3" t="s">
        <v>305</v>
      </c>
    </row>
    <row r="100" spans="1:21" x14ac:dyDescent="0.35">
      <c r="A100" t="s">
        <v>357</v>
      </c>
      <c r="B100">
        <v>202606</v>
      </c>
      <c r="C100" s="1" t="s">
        <v>27</v>
      </c>
      <c r="D100" s="1" t="s">
        <v>82</v>
      </c>
      <c r="E100" s="1">
        <v>4</v>
      </c>
      <c r="F100" s="1" t="s">
        <v>306</v>
      </c>
      <c r="G100" s="1" t="s">
        <v>358</v>
      </c>
      <c r="H100" s="3" t="s">
        <v>305</v>
      </c>
      <c r="I100" t="s">
        <v>321</v>
      </c>
      <c r="J100" s="3" t="s">
        <v>305</v>
      </c>
      <c r="K100" s="3" t="s">
        <v>305</v>
      </c>
      <c r="L100" s="3" t="s">
        <v>305</v>
      </c>
      <c r="M100" s="3" t="s">
        <v>305</v>
      </c>
      <c r="N100" s="3" t="s">
        <v>305</v>
      </c>
      <c r="O100" s="3" t="s">
        <v>305</v>
      </c>
      <c r="P100" s="3" t="s">
        <v>305</v>
      </c>
      <c r="Q100" s="3" t="s">
        <v>305</v>
      </c>
      <c r="R100" s="3" t="s">
        <v>305</v>
      </c>
      <c r="S100" s="3">
        <v>0</v>
      </c>
      <c r="T100" s="3" t="s">
        <v>305</v>
      </c>
      <c r="U100" s="3" t="s">
        <v>305</v>
      </c>
    </row>
    <row r="101" spans="1:21" x14ac:dyDescent="0.35">
      <c r="A101" t="s">
        <v>356</v>
      </c>
      <c r="B101">
        <v>202606</v>
      </c>
      <c r="C101" s="1" t="s">
        <v>87</v>
      </c>
      <c r="D101" s="1" t="s">
        <v>224</v>
      </c>
      <c r="E101" s="1">
        <v>13</v>
      </c>
      <c r="F101" s="1" t="s">
        <v>306</v>
      </c>
      <c r="G101" s="1" t="s">
        <v>359</v>
      </c>
      <c r="H101" s="3" t="s">
        <v>305</v>
      </c>
      <c r="I101" t="s">
        <v>322</v>
      </c>
      <c r="J101" s="3" t="s">
        <v>305</v>
      </c>
      <c r="K101" s="3" t="s">
        <v>305</v>
      </c>
      <c r="L101" s="3" t="s">
        <v>305</v>
      </c>
      <c r="M101" s="3" t="s">
        <v>305</v>
      </c>
      <c r="N101" s="3" t="s">
        <v>305</v>
      </c>
      <c r="O101" s="3" t="s">
        <v>305</v>
      </c>
      <c r="P101" s="3" t="s">
        <v>305</v>
      </c>
      <c r="Q101" s="3" t="s">
        <v>305</v>
      </c>
      <c r="R101" s="3" t="s">
        <v>305</v>
      </c>
      <c r="S101" s="3">
        <v>815</v>
      </c>
      <c r="T101" s="3" t="s">
        <v>305</v>
      </c>
      <c r="U101" s="3" t="s">
        <v>305</v>
      </c>
    </row>
    <row r="102" spans="1:21" x14ac:dyDescent="0.35">
      <c r="A102" t="s">
        <v>357</v>
      </c>
      <c r="B102">
        <v>202606</v>
      </c>
      <c r="C102" s="1" t="s">
        <v>128</v>
      </c>
      <c r="D102" s="1" t="s">
        <v>182</v>
      </c>
      <c r="E102" s="1">
        <v>14</v>
      </c>
      <c r="F102" s="1" t="s">
        <v>306</v>
      </c>
      <c r="G102" s="1" t="s">
        <v>311</v>
      </c>
      <c r="H102" s="3" t="s">
        <v>305</v>
      </c>
      <c r="I102" t="s">
        <v>323</v>
      </c>
      <c r="J102" s="3" t="s">
        <v>305</v>
      </c>
      <c r="K102" s="3" t="s">
        <v>305</v>
      </c>
      <c r="L102" s="3" t="s">
        <v>305</v>
      </c>
      <c r="M102" s="3" t="s">
        <v>305</v>
      </c>
      <c r="N102" s="3" t="s">
        <v>305</v>
      </c>
      <c r="O102" s="3" t="s">
        <v>305</v>
      </c>
      <c r="P102" s="3" t="s">
        <v>305</v>
      </c>
      <c r="Q102" s="3" t="s">
        <v>305</v>
      </c>
      <c r="R102" s="3" t="s">
        <v>305</v>
      </c>
      <c r="S102" s="3">
        <v>0</v>
      </c>
      <c r="T102" s="3" t="s">
        <v>305</v>
      </c>
      <c r="U102" s="3" t="s">
        <v>305</v>
      </c>
    </row>
    <row r="103" spans="1:21" x14ac:dyDescent="0.35">
      <c r="A103" t="s">
        <v>357</v>
      </c>
      <c r="B103">
        <v>202606</v>
      </c>
      <c r="C103" s="1" t="s">
        <v>27</v>
      </c>
      <c r="D103" s="1" t="s">
        <v>33</v>
      </c>
      <c r="E103" s="1">
        <v>1</v>
      </c>
      <c r="F103" s="1" t="s">
        <v>306</v>
      </c>
      <c r="G103" s="1" t="s">
        <v>22</v>
      </c>
      <c r="H103" s="3" t="s">
        <v>305</v>
      </c>
      <c r="I103" t="s">
        <v>324</v>
      </c>
      <c r="J103" s="3" t="s">
        <v>305</v>
      </c>
      <c r="K103" s="3" t="s">
        <v>305</v>
      </c>
      <c r="L103" s="3" t="s">
        <v>305</v>
      </c>
      <c r="M103" s="3" t="s">
        <v>305</v>
      </c>
      <c r="N103" s="3" t="s">
        <v>305</v>
      </c>
      <c r="O103" s="3" t="s">
        <v>305</v>
      </c>
      <c r="P103" s="3" t="s">
        <v>305</v>
      </c>
      <c r="Q103" s="3" t="s">
        <v>305</v>
      </c>
      <c r="R103" s="3" t="s">
        <v>305</v>
      </c>
      <c r="S103" s="3">
        <v>0</v>
      </c>
      <c r="T103" s="3" t="s">
        <v>305</v>
      </c>
      <c r="U103" s="3" t="s">
        <v>305</v>
      </c>
    </row>
    <row r="104" spans="1:21" x14ac:dyDescent="0.35">
      <c r="A104" t="s">
        <v>356</v>
      </c>
      <c r="B104">
        <v>202606</v>
      </c>
      <c r="C104" s="1" t="s">
        <v>128</v>
      </c>
      <c r="D104" s="1" t="s">
        <v>140</v>
      </c>
      <c r="E104" s="1">
        <v>9</v>
      </c>
      <c r="F104" s="1" t="s">
        <v>306</v>
      </c>
      <c r="G104" s="1" t="s">
        <v>360</v>
      </c>
      <c r="H104" s="3" t="s">
        <v>305</v>
      </c>
      <c r="I104" t="s">
        <v>325</v>
      </c>
      <c r="J104" s="3" t="s">
        <v>305</v>
      </c>
      <c r="K104" s="3" t="s">
        <v>305</v>
      </c>
      <c r="L104" s="3" t="s">
        <v>305</v>
      </c>
      <c r="M104" s="3" t="s">
        <v>305</v>
      </c>
      <c r="N104" s="3" t="s">
        <v>305</v>
      </c>
      <c r="O104" s="3" t="s">
        <v>305</v>
      </c>
      <c r="P104" s="3" t="s">
        <v>305</v>
      </c>
      <c r="Q104" s="3" t="s">
        <v>305</v>
      </c>
      <c r="R104" s="3" t="s">
        <v>305</v>
      </c>
      <c r="S104" s="3">
        <v>828</v>
      </c>
      <c r="T104" s="3" t="s">
        <v>305</v>
      </c>
      <c r="U104" s="3" t="s">
        <v>305</v>
      </c>
    </row>
    <row r="105" spans="1:21" x14ac:dyDescent="0.35">
      <c r="A105" t="s">
        <v>356</v>
      </c>
      <c r="B105">
        <v>202606</v>
      </c>
      <c r="C105" s="1" t="s">
        <v>87</v>
      </c>
      <c r="D105" s="1" t="s">
        <v>122</v>
      </c>
      <c r="E105" s="1">
        <v>7</v>
      </c>
      <c r="F105" s="1" t="s">
        <v>306</v>
      </c>
      <c r="G105" s="1" t="s">
        <v>284</v>
      </c>
      <c r="H105" s="3" t="s">
        <v>305</v>
      </c>
      <c r="I105" t="s">
        <v>326</v>
      </c>
      <c r="J105" s="3" t="s">
        <v>305</v>
      </c>
      <c r="K105" s="3" t="s">
        <v>305</v>
      </c>
      <c r="L105" s="3" t="s">
        <v>305</v>
      </c>
      <c r="M105" s="3" t="s">
        <v>305</v>
      </c>
      <c r="N105" s="3" t="s">
        <v>305</v>
      </c>
      <c r="O105" s="3" t="s">
        <v>305</v>
      </c>
      <c r="P105" s="3" t="s">
        <v>305</v>
      </c>
      <c r="Q105" s="3" t="s">
        <v>305</v>
      </c>
      <c r="R105" s="3" t="s">
        <v>305</v>
      </c>
      <c r="S105" s="3">
        <v>714</v>
      </c>
      <c r="T105" s="3" t="s">
        <v>305</v>
      </c>
      <c r="U105" s="3" t="s">
        <v>305</v>
      </c>
    </row>
    <row r="106" spans="1:21" x14ac:dyDescent="0.35">
      <c r="A106" t="s">
        <v>356</v>
      </c>
      <c r="B106">
        <v>202606</v>
      </c>
      <c r="C106" s="1" t="s">
        <v>87</v>
      </c>
      <c r="D106" s="1" t="s">
        <v>122</v>
      </c>
      <c r="E106" s="1">
        <v>7</v>
      </c>
      <c r="F106" s="1" t="s">
        <v>306</v>
      </c>
      <c r="G106" s="1" t="s">
        <v>123</v>
      </c>
      <c r="H106" s="3" t="s">
        <v>305</v>
      </c>
      <c r="I106" t="s">
        <v>327</v>
      </c>
      <c r="J106" s="3" t="s">
        <v>305</v>
      </c>
      <c r="K106" s="3" t="s">
        <v>305</v>
      </c>
      <c r="L106" s="3" t="s">
        <v>305</v>
      </c>
      <c r="M106" s="3" t="s">
        <v>305</v>
      </c>
      <c r="N106" s="3" t="s">
        <v>305</v>
      </c>
      <c r="O106" s="3" t="s">
        <v>305</v>
      </c>
      <c r="P106" s="3" t="s">
        <v>305</v>
      </c>
      <c r="Q106" s="3" t="s">
        <v>305</v>
      </c>
      <c r="R106" s="3" t="s">
        <v>305</v>
      </c>
      <c r="S106" s="20">
        <v>810</v>
      </c>
      <c r="T106" s="3" t="s">
        <v>305</v>
      </c>
      <c r="U106" s="3" t="s">
        <v>305</v>
      </c>
    </row>
    <row r="107" spans="1:21" x14ac:dyDescent="0.35">
      <c r="A107" t="s">
        <v>356</v>
      </c>
      <c r="B107">
        <v>202606</v>
      </c>
      <c r="C107" s="1" t="s">
        <v>27</v>
      </c>
      <c r="D107" s="1" t="s">
        <v>82</v>
      </c>
      <c r="E107" s="1">
        <v>4</v>
      </c>
      <c r="F107" s="1" t="s">
        <v>306</v>
      </c>
      <c r="G107" s="1" t="s">
        <v>99</v>
      </c>
      <c r="H107" s="3" t="s">
        <v>305</v>
      </c>
      <c r="I107" t="s">
        <v>99</v>
      </c>
      <c r="J107" s="3" t="s">
        <v>305</v>
      </c>
      <c r="K107" s="3" t="s">
        <v>305</v>
      </c>
      <c r="L107" s="3" t="s">
        <v>305</v>
      </c>
      <c r="M107" s="3" t="s">
        <v>305</v>
      </c>
      <c r="N107" s="3" t="s">
        <v>305</v>
      </c>
      <c r="O107" s="3" t="s">
        <v>305</v>
      </c>
      <c r="P107" s="3" t="s">
        <v>305</v>
      </c>
      <c r="Q107" s="3" t="s">
        <v>305</v>
      </c>
      <c r="R107" s="3" t="s">
        <v>305</v>
      </c>
      <c r="S107" s="20">
        <v>810</v>
      </c>
      <c r="T107" s="3" t="s">
        <v>305</v>
      </c>
      <c r="U107" s="3" t="s">
        <v>305</v>
      </c>
    </row>
    <row r="108" spans="1:21" x14ac:dyDescent="0.35">
      <c r="A108" t="s">
        <v>356</v>
      </c>
      <c r="B108">
        <v>202606</v>
      </c>
      <c r="C108" s="1" t="s">
        <v>27</v>
      </c>
      <c r="D108" s="1" t="s">
        <v>38</v>
      </c>
      <c r="E108" s="1">
        <v>2</v>
      </c>
      <c r="F108" s="1" t="s">
        <v>306</v>
      </c>
      <c r="G108" s="1" t="s">
        <v>39</v>
      </c>
      <c r="H108" s="3" t="s">
        <v>305</v>
      </c>
      <c r="I108" t="s">
        <v>38</v>
      </c>
      <c r="J108" s="3" t="s">
        <v>305</v>
      </c>
      <c r="K108" s="3" t="s">
        <v>305</v>
      </c>
      <c r="L108" s="3" t="s">
        <v>305</v>
      </c>
      <c r="M108" s="3" t="s">
        <v>305</v>
      </c>
      <c r="N108" s="3" t="s">
        <v>305</v>
      </c>
      <c r="O108" s="3" t="s">
        <v>305</v>
      </c>
      <c r="P108" s="3" t="s">
        <v>305</v>
      </c>
      <c r="Q108" s="3" t="s">
        <v>305</v>
      </c>
      <c r="R108" s="3" t="s">
        <v>305</v>
      </c>
      <c r="S108" s="20">
        <v>890</v>
      </c>
      <c r="T108" s="3" t="s">
        <v>305</v>
      </c>
      <c r="U108" s="3" t="s">
        <v>305</v>
      </c>
    </row>
    <row r="109" spans="1:21" x14ac:dyDescent="0.35">
      <c r="A109" t="s">
        <v>356</v>
      </c>
      <c r="B109">
        <v>202606</v>
      </c>
      <c r="C109" s="1" t="s">
        <v>27</v>
      </c>
      <c r="D109" s="1" t="s">
        <v>68</v>
      </c>
      <c r="E109" s="1">
        <v>3</v>
      </c>
      <c r="F109" s="1" t="s">
        <v>306</v>
      </c>
      <c r="G109" s="1" t="s">
        <v>76</v>
      </c>
      <c r="H109" s="3" t="s">
        <v>305</v>
      </c>
      <c r="I109" t="s">
        <v>320</v>
      </c>
      <c r="J109" s="3" t="s">
        <v>305</v>
      </c>
      <c r="K109" s="3" t="s">
        <v>305</v>
      </c>
      <c r="L109" s="3" t="s">
        <v>305</v>
      </c>
      <c r="M109" s="3" t="s">
        <v>305</v>
      </c>
      <c r="N109" s="3" t="s">
        <v>305</v>
      </c>
      <c r="O109" s="3" t="s">
        <v>305</v>
      </c>
      <c r="P109" s="3" t="s">
        <v>305</v>
      </c>
      <c r="Q109" s="3" t="s">
        <v>305</v>
      </c>
      <c r="R109" s="3" t="s">
        <v>305</v>
      </c>
      <c r="S109" s="3">
        <v>897</v>
      </c>
      <c r="T109" s="3" t="s">
        <v>305</v>
      </c>
      <c r="U109" s="3" t="s">
        <v>305</v>
      </c>
    </row>
    <row r="110" spans="1:21" x14ac:dyDescent="0.35">
      <c r="A110" t="s">
        <v>356</v>
      </c>
      <c r="B110">
        <v>202606</v>
      </c>
      <c r="C110" s="1" t="s">
        <v>87</v>
      </c>
      <c r="D110" s="1" t="s">
        <v>122</v>
      </c>
      <c r="E110" s="1">
        <v>7</v>
      </c>
      <c r="F110" s="1" t="s">
        <v>306</v>
      </c>
      <c r="G110" s="1" t="s">
        <v>123</v>
      </c>
      <c r="H110" s="3" t="s">
        <v>305</v>
      </c>
      <c r="I110" t="s">
        <v>327</v>
      </c>
      <c r="J110" s="3" t="s">
        <v>305</v>
      </c>
      <c r="K110" s="3" t="s">
        <v>305</v>
      </c>
      <c r="L110" s="3" t="s">
        <v>305</v>
      </c>
      <c r="M110" s="3" t="s">
        <v>305</v>
      </c>
      <c r="N110" s="3" t="s">
        <v>305</v>
      </c>
      <c r="O110" s="3" t="s">
        <v>305</v>
      </c>
      <c r="P110" s="3" t="s">
        <v>305</v>
      </c>
      <c r="Q110" s="3" t="s">
        <v>305</v>
      </c>
      <c r="R110" s="3" t="s">
        <v>305</v>
      </c>
      <c r="S110" s="20">
        <v>810</v>
      </c>
      <c r="T110" s="3" t="s">
        <v>305</v>
      </c>
      <c r="U110" s="3" t="s">
        <v>305</v>
      </c>
    </row>
    <row r="111" spans="1:21" x14ac:dyDescent="0.35">
      <c r="A111" t="s">
        <v>356</v>
      </c>
      <c r="B111">
        <v>202606</v>
      </c>
      <c r="C111" s="1" t="s">
        <v>128</v>
      </c>
      <c r="D111" s="1" t="s">
        <v>140</v>
      </c>
      <c r="E111" s="1">
        <v>9</v>
      </c>
      <c r="F111" s="1" t="s">
        <v>306</v>
      </c>
      <c r="G111" s="1" t="s">
        <v>360</v>
      </c>
      <c r="H111" s="3" t="s">
        <v>305</v>
      </c>
      <c r="I111" t="s">
        <v>325</v>
      </c>
      <c r="J111" s="3" t="s">
        <v>305</v>
      </c>
      <c r="K111" s="3" t="s">
        <v>305</v>
      </c>
      <c r="L111" s="3" t="s">
        <v>305</v>
      </c>
      <c r="M111" s="3" t="s">
        <v>305</v>
      </c>
      <c r="N111" s="3" t="s">
        <v>305</v>
      </c>
      <c r="O111" s="3" t="s">
        <v>305</v>
      </c>
      <c r="P111" s="3" t="s">
        <v>305</v>
      </c>
      <c r="Q111" s="3" t="s">
        <v>305</v>
      </c>
      <c r="R111" s="3" t="s">
        <v>305</v>
      </c>
      <c r="S111" s="20">
        <v>828</v>
      </c>
      <c r="T111" s="3" t="s">
        <v>305</v>
      </c>
      <c r="U111" s="3" t="s">
        <v>305</v>
      </c>
    </row>
    <row r="112" spans="1:21" x14ac:dyDescent="0.35">
      <c r="A112" t="str">
        <f t="shared" ref="A110:A113" si="0">+IF(S112&lt;&gt;0,"si","no")</f>
        <v>si</v>
      </c>
      <c r="B112">
        <v>202606</v>
      </c>
      <c r="C112" s="1" t="s">
        <v>87</v>
      </c>
      <c r="D112" s="1" t="s">
        <v>122</v>
      </c>
      <c r="E112" s="1">
        <v>7</v>
      </c>
      <c r="F112" s="1" t="s">
        <v>306</v>
      </c>
      <c r="G112" s="1" t="s">
        <v>123</v>
      </c>
      <c r="H112" s="3" t="s">
        <v>305</v>
      </c>
      <c r="I112" t="s">
        <v>327</v>
      </c>
      <c r="J112" s="3" t="s">
        <v>305</v>
      </c>
      <c r="K112" s="3" t="s">
        <v>305</v>
      </c>
      <c r="L112" s="3" t="s">
        <v>305</v>
      </c>
      <c r="M112" s="3" t="s">
        <v>305</v>
      </c>
      <c r="N112" s="3" t="s">
        <v>305</v>
      </c>
      <c r="O112" s="3" t="s">
        <v>305</v>
      </c>
      <c r="P112" s="3" t="s">
        <v>305</v>
      </c>
      <c r="Q112" s="3" t="s">
        <v>305</v>
      </c>
      <c r="R112" s="3" t="s">
        <v>305</v>
      </c>
      <c r="S112" s="20">
        <v>810</v>
      </c>
      <c r="T112" s="3" t="s">
        <v>305</v>
      </c>
      <c r="U112" s="3" t="s">
        <v>305</v>
      </c>
    </row>
    <row r="113" spans="1:21" x14ac:dyDescent="0.35">
      <c r="A113" t="str">
        <f t="shared" si="0"/>
        <v>si</v>
      </c>
      <c r="B113">
        <v>202606</v>
      </c>
      <c r="C113" s="1" t="s">
        <v>128</v>
      </c>
      <c r="D113" s="1" t="s">
        <v>140</v>
      </c>
      <c r="E113" s="1">
        <v>9</v>
      </c>
      <c r="F113" s="1" t="s">
        <v>306</v>
      </c>
      <c r="G113" s="1" t="s">
        <v>360</v>
      </c>
      <c r="H113" s="3" t="s">
        <v>305</v>
      </c>
      <c r="I113" t="s">
        <v>325</v>
      </c>
      <c r="J113" s="3" t="s">
        <v>305</v>
      </c>
      <c r="K113" s="3" t="s">
        <v>305</v>
      </c>
      <c r="L113" s="3" t="s">
        <v>305</v>
      </c>
      <c r="M113" s="3" t="s">
        <v>305</v>
      </c>
      <c r="N113" s="3" t="s">
        <v>305</v>
      </c>
      <c r="O113" s="3" t="s">
        <v>305</v>
      </c>
      <c r="P113" s="3" t="s">
        <v>305</v>
      </c>
      <c r="Q113" s="3" t="s">
        <v>305</v>
      </c>
      <c r="R113" s="3" t="s">
        <v>305</v>
      </c>
      <c r="S113" s="20">
        <v>828</v>
      </c>
      <c r="T113" s="3" t="s">
        <v>305</v>
      </c>
      <c r="U113" s="3" t="s">
        <v>305</v>
      </c>
    </row>
  </sheetData>
  <autoFilter ref="A1:U113" xr:uid="{868BBEE7-4A6F-40EC-9605-DE44E330ADA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 final</vt:lpstr>
      <vt:lpstr>BD Final</vt:lpstr>
    </vt:vector>
  </TitlesOfParts>
  <Company>COPEC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Raymundo Lineros Sandoval</dc:creator>
  <cp:lastModifiedBy>Matias Raymundo Lineros Sandoval</cp:lastModifiedBy>
  <dcterms:created xsi:type="dcterms:W3CDTF">2026-06-24T20:14:21Z</dcterms:created>
  <dcterms:modified xsi:type="dcterms:W3CDTF">2026-07-07T16:52:49Z</dcterms:modified>
</cp:coreProperties>
</file>